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ダッシュボード" sheetId="1" state="visible" r:id="rId1"/>
    <sheet name="メンバー1" sheetId="2" state="visible" r:id="rId2"/>
    <sheet name="メンバー2" sheetId="3" state="visible" r:id="rId3"/>
    <sheet name="メンバー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0369A1"/>
      <sz val="10"/>
    </font>
    <font>
      <name val="Arial"/>
      <b val="1"/>
      <color rgb="00FFFFFF"/>
      <sz val="9"/>
    </font>
    <font>
      <name val="Courier New"/>
      <sz val="9"/>
    </font>
    <font>
      <name val="Arial"/>
      <color rgb="001E293B"/>
      <sz val="10"/>
    </font>
    <font>
      <name val="Arial"/>
      <b val="1"/>
      <color rgb="000C4A6E"/>
      <sz val="9"/>
    </font>
    <font>
      <name val="Arial"/>
      <b val="1"/>
      <color rgb="000C4A6E"/>
      <sz val="11"/>
    </font>
    <font>
      <name val="Arial"/>
      <b val="1"/>
      <color rgb="000EA5E9"/>
      <sz val="12"/>
    </font>
    <font>
      <name val="Arial"/>
      <b val="1"/>
      <color rgb="000EA5E9"/>
      <sz val="10"/>
    </font>
    <font>
      <name val="Courier New"/>
      <b val="1"/>
      <color rgb="000EA5E9"/>
      <sz val="11"/>
    </font>
    <font>
      <name val="Arial"/>
      <b val="1"/>
      <color rgb="00FFFFFF"/>
      <sz val="12"/>
    </font>
    <font>
      <name val="Arial"/>
      <b val="1"/>
      <color rgb="00555555"/>
      <sz val="9"/>
    </font>
    <font>
      <name val="Arial"/>
      <b val="1"/>
      <color rgb="00666666"/>
      <sz val="8"/>
    </font>
    <font>
      <name val="Arial"/>
      <color rgb="00AAAAAA"/>
      <sz val="13"/>
    </font>
    <font>
      <name val="Arial"/>
      <color rgb="000000FF"/>
      <sz val="10"/>
    </font>
    <font>
      <name val="Arial"/>
      <color rgb="00000000"/>
      <sz val="10"/>
    </font>
    <font>
      <name val="Arial"/>
      <color rgb="00000000"/>
      <sz val="9"/>
    </font>
    <font>
      <name val="Courier New"/>
      <color rgb="00000000"/>
      <sz val="9"/>
    </font>
    <font>
      <name val="Arial"/>
      <sz val="9"/>
    </font>
  </fonts>
  <fills count="22">
    <fill>
      <patternFill/>
    </fill>
    <fill>
      <patternFill patternType="gray125"/>
    </fill>
    <fill>
      <patternFill patternType="solid">
        <fgColor rgb="0038BDF8"/>
        <bgColor rgb="0038BDF8"/>
      </patternFill>
    </fill>
    <fill>
      <patternFill patternType="solid">
        <fgColor rgb="00E0F7FF"/>
        <bgColor rgb="00E0F7FF"/>
      </patternFill>
    </fill>
    <fill>
      <patternFill patternType="solid">
        <fgColor rgb="00F0FBFF"/>
        <bgColor rgb="00F0FBFF"/>
      </patternFill>
    </fill>
    <fill>
      <patternFill patternType="solid">
        <fgColor rgb="000EA5E9"/>
        <bgColor rgb="000EA5E9"/>
      </patternFill>
    </fill>
    <fill>
      <patternFill patternType="solid">
        <fgColor rgb="00FFFFFF"/>
        <bgColor rgb="00FFFFFF"/>
      </patternFill>
    </fill>
    <fill>
      <patternFill patternType="solid">
        <fgColor rgb="00FFFF99"/>
        <bgColor rgb="00FFFF99"/>
      </patternFill>
    </fill>
    <fill>
      <patternFill patternType="solid">
        <fgColor rgb="00F8FAFC"/>
        <bgColor rgb="00F8FAFC"/>
      </patternFill>
    </fill>
    <fill>
      <patternFill patternType="solid">
        <fgColor rgb="00FF6B6B"/>
        <bgColor rgb="00FF6B6B"/>
      </patternFill>
    </fill>
    <fill>
      <patternFill patternType="solid">
        <fgColor rgb="00FFE8E8"/>
        <bgColor rgb="00FFE8E8"/>
      </patternFill>
    </fill>
    <fill>
      <patternFill patternType="solid">
        <fgColor rgb="00FFF5F5"/>
        <bgColor rgb="00FFF5F5"/>
      </patternFill>
    </fill>
    <fill>
      <patternFill patternType="solid">
        <fgColor rgb="009B5DE5"/>
        <bgColor rgb="009B5DE5"/>
      </patternFill>
    </fill>
    <fill>
      <patternFill patternType="solid">
        <fgColor rgb="00EDE0FF"/>
        <bgColor rgb="00EDE0FF"/>
      </patternFill>
    </fill>
    <fill>
      <patternFill patternType="solid">
        <fgColor rgb="00F7F0FF"/>
        <bgColor rgb="00F7F0FF"/>
      </patternFill>
    </fill>
    <fill>
      <patternFill patternType="solid">
        <fgColor rgb="0000BBF9"/>
        <bgColor rgb="0000BBF9"/>
      </patternFill>
    </fill>
    <fill>
      <patternFill patternType="solid">
        <fgColor rgb="00D8F4FF"/>
        <bgColor rgb="00D8F4FF"/>
      </patternFill>
    </fill>
    <fill>
      <patternFill patternType="solid">
        <fgColor rgb="0000C896"/>
        <bgColor rgb="0000C896"/>
      </patternFill>
    </fill>
    <fill>
      <patternFill patternType="solid">
        <fgColor rgb="00C8F7E8"/>
        <bgColor rgb="00C8F7E8"/>
      </patternFill>
    </fill>
    <fill>
      <patternFill patternType="solid">
        <fgColor rgb="00F0FBF6"/>
        <bgColor rgb="00F0FBF6"/>
      </patternFill>
    </fill>
    <fill>
      <patternFill patternType="solid">
        <fgColor rgb="00FF9F43"/>
        <bgColor rgb="00FF9F43"/>
      </patternFill>
    </fill>
    <fill>
      <patternFill patternType="solid">
        <fgColor rgb="00FFE9C8"/>
        <bgColor rgb="00FFE9C8"/>
      </patternFill>
    </fill>
  </fills>
  <borders count="7">
    <border>
      <left/>
      <right/>
      <top/>
      <bottom/>
      <diagonal/>
    </border>
    <border>
      <left style="thin">
        <color rgb="007DD3FC"/>
      </left>
      <right style="thin">
        <color rgb="007DD3FC"/>
      </right>
      <top style="thin">
        <color rgb="007DD3FC"/>
      </top>
      <bottom style="thin">
        <color rgb="007DD3FC"/>
      </bottom>
    </border>
    <border>
      <left style="thin">
        <color rgb="00BAE6FD"/>
      </left>
      <right style="thin">
        <color rgb="00BAE6FD"/>
      </right>
      <top style="thin">
        <color rgb="00BAE6FD"/>
      </top>
      <bottom style="thin">
        <color rgb="00BAE6FD"/>
      </bottom>
    </border>
    <border>
      <left style="thin">
        <color rgb="0060C4EE"/>
      </left>
      <right style="thin">
        <color rgb="0060C4EE"/>
      </right>
      <top style="thin">
        <color rgb="0060C4EE"/>
      </top>
      <bottom style="thin">
        <color rgb="0060C4EE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thin">
        <color rgb="00FFFFFF"/>
      </bottom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9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9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164" fontId="0" fillId="7" borderId="0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5" borderId="3" applyAlignment="1" pivotButton="0" quotePrefix="0" xfId="0">
      <alignment horizontal="center" vertical="center" wrapText="1"/>
    </xf>
    <xf numFmtId="0" fontId="11" fillId="9" borderId="4" applyAlignment="1" pivotButton="0" quotePrefix="0" xfId="0">
      <alignment horizontal="left" vertical="center" indent="1"/>
    </xf>
    <xf numFmtId="0" fontId="0" fillId="10" borderId="5" pivotButton="0" quotePrefix="0" xfId="0"/>
    <xf numFmtId="0" fontId="12" fillId="10" borderId="5" applyAlignment="1" pivotButton="0" quotePrefix="0" xfId="0">
      <alignment horizontal="left" vertical="center"/>
    </xf>
    <xf numFmtId="0" fontId="13" fillId="10" borderId="5" applyAlignment="1" pivotButton="0" quotePrefix="0" xfId="0">
      <alignment horizontal="center" vertical="center"/>
    </xf>
    <xf numFmtId="0" fontId="14" fillId="6" borderId="6" applyAlignment="1" pivotButton="0" quotePrefix="0" xfId="0">
      <alignment horizontal="center" vertical="center"/>
    </xf>
    <xf numFmtId="0" fontId="5" fillId="6" borderId="6" applyAlignment="1" pivotButton="0" quotePrefix="0" xfId="0">
      <alignment horizontal="left" vertical="center" wrapText="1" indent="1"/>
    </xf>
    <xf numFmtId="164" fontId="0" fillId="7" borderId="6" applyAlignment="1" pivotButton="0" quotePrefix="0" xfId="0">
      <alignment horizontal="center" vertical="center"/>
    </xf>
    <xf numFmtId="0" fontId="1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9" fontId="16" fillId="6" borderId="6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left" vertical="center"/>
    </xf>
    <xf numFmtId="0" fontId="19" fillId="7" borderId="6" applyAlignment="1" pivotButton="0" quotePrefix="0" xfId="0">
      <alignment horizontal="left" vertical="center"/>
    </xf>
    <xf numFmtId="0" fontId="14" fillId="11" borderId="6" applyAlignment="1" pivotButton="0" quotePrefix="0" xfId="0">
      <alignment horizontal="center" vertical="center"/>
    </xf>
    <xf numFmtId="0" fontId="5" fillId="11" borderId="6" applyAlignment="1" pivotButton="0" quotePrefix="0" xfId="0">
      <alignment horizontal="left" vertical="center" wrapText="1" indent="1"/>
    </xf>
    <xf numFmtId="0" fontId="15" fillId="11" borderId="6" applyAlignment="1" pivotButton="0" quotePrefix="0" xfId="0">
      <alignment horizontal="center" vertical="center"/>
    </xf>
    <xf numFmtId="9" fontId="16" fillId="11" borderId="6" applyAlignment="1" pivotButton="0" quotePrefix="0" xfId="0">
      <alignment horizontal="center" vertical="center"/>
    </xf>
    <xf numFmtId="0" fontId="17" fillId="11" borderId="6" applyAlignment="1" pivotButton="0" quotePrefix="0" xfId="0">
      <alignment horizontal="center" vertical="center"/>
    </xf>
    <xf numFmtId="0" fontId="18" fillId="11" borderId="6" applyAlignment="1" pivotButton="0" quotePrefix="0" xfId="0">
      <alignment horizontal="left" vertical="center"/>
    </xf>
    <xf numFmtId="0" fontId="11" fillId="12" borderId="4" applyAlignment="1" pivotButton="0" quotePrefix="0" xfId="0">
      <alignment horizontal="left" vertical="center" indent="1"/>
    </xf>
    <xf numFmtId="0" fontId="0" fillId="13" borderId="5" pivotButton="0" quotePrefix="0" xfId="0"/>
    <xf numFmtId="0" fontId="12" fillId="13" borderId="5" applyAlignment="1" pivotButton="0" quotePrefix="0" xfId="0">
      <alignment horizontal="left" vertical="center"/>
    </xf>
    <xf numFmtId="0" fontId="13" fillId="13" borderId="5" applyAlignment="1" pivotButton="0" quotePrefix="0" xfId="0">
      <alignment horizontal="center" vertical="center"/>
    </xf>
    <xf numFmtId="0" fontId="14" fillId="14" borderId="6" applyAlignment="1" pivotButton="0" quotePrefix="0" xfId="0">
      <alignment horizontal="center" vertical="center"/>
    </xf>
    <xf numFmtId="0" fontId="5" fillId="14" borderId="6" applyAlignment="1" pivotButton="0" quotePrefix="0" xfId="0">
      <alignment horizontal="left" vertical="center" wrapText="1" indent="1"/>
    </xf>
    <xf numFmtId="0" fontId="15" fillId="14" borderId="6" applyAlignment="1" pivotButton="0" quotePrefix="0" xfId="0">
      <alignment horizontal="center" vertical="center"/>
    </xf>
    <xf numFmtId="9" fontId="16" fillId="14" borderId="6" applyAlignment="1" pivotButton="0" quotePrefix="0" xfId="0">
      <alignment horizontal="center" vertical="center"/>
    </xf>
    <xf numFmtId="0" fontId="17" fillId="14" borderId="6" applyAlignment="1" pivotButton="0" quotePrefix="0" xfId="0">
      <alignment horizontal="center" vertical="center"/>
    </xf>
    <xf numFmtId="0" fontId="18" fillId="14" borderId="6" applyAlignment="1" pivotButton="0" quotePrefix="0" xfId="0">
      <alignment horizontal="left" vertical="center"/>
    </xf>
    <xf numFmtId="0" fontId="11" fillId="15" borderId="4" applyAlignment="1" pivotButton="0" quotePrefix="0" xfId="0">
      <alignment horizontal="left" vertical="center" indent="1"/>
    </xf>
    <xf numFmtId="0" fontId="0" fillId="16" borderId="5" pivotButton="0" quotePrefix="0" xfId="0"/>
    <xf numFmtId="0" fontId="12" fillId="16" borderId="5" applyAlignment="1" pivotButton="0" quotePrefix="0" xfId="0">
      <alignment horizontal="left" vertical="center"/>
    </xf>
    <xf numFmtId="0" fontId="13" fillId="16" borderId="5" applyAlignment="1" pivotButton="0" quotePrefix="0" xfId="0">
      <alignment horizontal="center" vertical="center"/>
    </xf>
    <xf numFmtId="0" fontId="14" fillId="4" borderId="6" applyAlignment="1" pivotButton="0" quotePrefix="0" xfId="0">
      <alignment horizontal="center" vertical="center"/>
    </xf>
    <xf numFmtId="0" fontId="5" fillId="4" borderId="6" applyAlignment="1" pivotButton="0" quotePrefix="0" xfId="0">
      <alignment horizontal="left" vertical="center" wrapText="1" indent="1"/>
    </xf>
    <xf numFmtId="0" fontId="15" fillId="4" borderId="6" applyAlignment="1" pivotButton="0" quotePrefix="0" xfId="0">
      <alignment horizontal="center" vertical="center"/>
    </xf>
    <xf numFmtId="9" fontId="16" fillId="4" borderId="6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8" fillId="4" borderId="6" applyAlignment="1" pivotButton="0" quotePrefix="0" xfId="0">
      <alignment horizontal="left" vertical="center"/>
    </xf>
    <xf numFmtId="0" fontId="11" fillId="17" borderId="4" applyAlignment="1" pivotButton="0" quotePrefix="0" xfId="0">
      <alignment horizontal="left" vertical="center" indent="1"/>
    </xf>
    <xf numFmtId="0" fontId="0" fillId="18" borderId="5" pivotButton="0" quotePrefix="0" xfId="0"/>
    <xf numFmtId="0" fontId="12" fillId="18" borderId="5" applyAlignment="1" pivotButton="0" quotePrefix="0" xfId="0">
      <alignment horizontal="left" vertical="center"/>
    </xf>
    <xf numFmtId="0" fontId="13" fillId="18" borderId="5" applyAlignment="1" pivotButton="0" quotePrefix="0" xfId="0">
      <alignment horizontal="center" vertical="center"/>
    </xf>
    <xf numFmtId="0" fontId="14" fillId="19" borderId="6" applyAlignment="1" pivotButton="0" quotePrefix="0" xfId="0">
      <alignment horizontal="center" vertical="center"/>
    </xf>
    <xf numFmtId="0" fontId="5" fillId="19" borderId="6" applyAlignment="1" pivotButton="0" quotePrefix="0" xfId="0">
      <alignment horizontal="left" vertical="center" wrapText="1" indent="1"/>
    </xf>
    <xf numFmtId="0" fontId="15" fillId="19" borderId="6" applyAlignment="1" pivotButton="0" quotePrefix="0" xfId="0">
      <alignment horizontal="center" vertical="center"/>
    </xf>
    <xf numFmtId="9" fontId="16" fillId="19" borderId="6" applyAlignment="1" pivotButton="0" quotePrefix="0" xfId="0">
      <alignment horizontal="center" vertical="center"/>
    </xf>
    <xf numFmtId="0" fontId="17" fillId="19" borderId="6" applyAlignment="1" pivotButton="0" quotePrefix="0" xfId="0">
      <alignment horizontal="center" vertical="center"/>
    </xf>
    <xf numFmtId="0" fontId="18" fillId="19" borderId="6" applyAlignment="1" pivotButton="0" quotePrefix="0" xfId="0">
      <alignment horizontal="left" vertical="center"/>
    </xf>
    <xf numFmtId="0" fontId="11" fillId="20" borderId="4" applyAlignment="1" pivotButton="0" quotePrefix="0" xfId="0">
      <alignment horizontal="left" vertical="center" indent="1"/>
    </xf>
    <xf numFmtId="0" fontId="0" fillId="21" borderId="5" pivotButton="0" quotePrefix="0" xfId="0"/>
    <xf numFmtId="0" fontId="12" fillId="21" borderId="5" applyAlignment="1" pivotButton="0" quotePrefix="0" xfId="0">
      <alignment horizontal="left" vertical="center"/>
    </xf>
    <xf numFmtId="0" fontId="13" fillId="21" borderId="5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Arial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color rgb="00713F12"/>
      </font>
      <fill>
        <patternFill patternType="solid">
          <fgColor rgb="00FEF9C3"/>
          <bgColor rgb="00FEF9C3"/>
        </patternFill>
      </fill>
    </dxf>
    <dxf>
      <font>
        <name val="Arial"/>
        <color rgb="00991B1B"/>
      </font>
      <fill>
        <patternFill patternType="solid">
          <fgColor rgb="00FEE2E2"/>
          <bgColor rgb="00FEE2E2"/>
        </patternFill>
      </fill>
    </dxf>
    <dxf>
      <font>
        <name val="Arial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color rgb="0064748B"/>
      </font>
      <fill>
        <patternFill patternType="solid">
          <fgColor rgb="00F1F5F9"/>
          <bgColor rgb="00F1F5F9"/>
        </patternFill>
      </fill>
    </dxf>
    <dxf>
      <font>
        <name val="Arial"/>
        <color rgb="00166534"/>
      </font>
      <fill>
        <patternFill patternType="solid">
          <fgColor rgb="00F0FDF4"/>
          <bgColor rgb="00F0FDF4"/>
        </patternFill>
      </fill>
    </dxf>
    <dxf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8BDF8"/>
    <outlinePr summaryBelow="1" summaryRight="1"/>
    <pageSetUpPr/>
  </sheetPr>
  <dimension ref="A1:K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3" customWidth="1" min="4" max="4"/>
    <col width="3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</cols>
  <sheetData>
    <row r="1" ht="46" customHeight="1">
      <c r="A1" s="1" t="inlineStr">
        <is>
          <t>📊  研修進捗ダッシュボード　第2弾：初成約〜1ヶ月</t>
        </is>
      </c>
    </row>
    <row r="2" ht="22" customHeight="1">
      <c r="A2" s="2">
        <f>"最終更新：　"&amp;TEXT(TODAY(),"YYYY年 MM月 DD日")</f>
        <v/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8" customHeight="1">
      <c r="A4" s="4" t="inlineStr">
        <is>
          <t>No.</t>
        </is>
      </c>
      <c r="B4" s="4" t="inlineStr">
        <is>
          <t>メンバー名</t>
        </is>
      </c>
      <c r="C4" s="4" t="inlineStr">
        <is>
          <t>開始日</t>
        </is>
      </c>
      <c r="D4" s="4" t="inlineStr">
        <is>
          <t>全体進捗</t>
        </is>
      </c>
      <c r="E4" s="4" t="inlineStr">
        <is>
          <t>進捗バー</t>
        </is>
      </c>
      <c r="F4" s="4" t="inlineStr">
        <is>
          <t>✅ 合格</t>
        </is>
      </c>
      <c r="G4" s="4" t="inlineStr">
        <is>
          <t>🔄 練習中</t>
        </is>
      </c>
      <c r="H4" s="4" t="inlineStr">
        <is>
          <t>🔴 遅れ</t>
        </is>
      </c>
      <c r="I4" s="4" t="inlineStr">
        <is>
          <t>⬜ 未着手</t>
        </is>
      </c>
      <c r="J4" s="4" t="inlineStr">
        <is>
          <t>経過日数</t>
        </is>
      </c>
      <c r="K4" s="4" t="inlineStr">
        <is>
          <t>残りアイテム</t>
        </is>
      </c>
    </row>
    <row r="5" ht="24" customHeight="1">
      <c r="A5" s="5" t="n">
        <v>1</v>
      </c>
      <c r="B5" s="5">
        <f>'メンバー1'!B2</f>
        <v/>
      </c>
      <c r="C5" s="6">
        <f>'メンバー1'!D2</f>
        <v/>
      </c>
      <c r="D5" s="7">
        <f>'メンバー1'!F2</f>
        <v/>
      </c>
      <c r="E5" s="8">
        <f>REPT("█",INT('メンバー1'!F2*20))&amp;REPT("░",20-INT('メンバー1'!F2*20))&amp;"  "&amp;TEXT('メンバー1'!F2,"0%")</f>
        <v/>
      </c>
      <c r="F5" s="5">
        <f>COUNTIF('メンバー1'!G6:G55,"*合格*")</f>
        <v/>
      </c>
      <c r="G5" s="5">
        <f>COUNTIF('メンバー1'!G6:G55,"*練習中*")</f>
        <v/>
      </c>
      <c r="H5" s="5">
        <f>COUNTIF('メンバー1'!G6:G55,"*遅れ*")</f>
        <v/>
      </c>
      <c r="I5" s="5">
        <f>COUNTIF('メンバー1'!G6:G55,"*未着手*")</f>
        <v/>
      </c>
      <c r="J5" s="5">
        <f>'メンバー1'!H2</f>
        <v/>
      </c>
      <c r="K5" s="5">
        <f>30-F5</f>
        <v/>
      </c>
    </row>
    <row r="6" ht="24" customHeight="1">
      <c r="A6" s="9" t="n">
        <v>2</v>
      </c>
      <c r="B6" s="9">
        <f>'メンバー2'!B2</f>
        <v/>
      </c>
      <c r="C6" s="10">
        <f>'メンバー2'!D2</f>
        <v/>
      </c>
      <c r="D6" s="11">
        <f>'メンバー2'!F2</f>
        <v/>
      </c>
      <c r="E6" s="12">
        <f>REPT("█",INT('メンバー2'!F2*20))&amp;REPT("░",20-INT('メンバー2'!F2*20))&amp;"  "&amp;TEXT('メンバー2'!F2,"0%")</f>
        <v/>
      </c>
      <c r="F6" s="9">
        <f>COUNTIF('メンバー2'!G6:G55,"*合格*")</f>
        <v/>
      </c>
      <c r="G6" s="9">
        <f>COUNTIF('メンバー2'!G6:G55,"*練習中*")</f>
        <v/>
      </c>
      <c r="H6" s="9">
        <f>COUNTIF('メンバー2'!G6:G55,"*遅れ*")</f>
        <v/>
      </c>
      <c r="I6" s="9">
        <f>COUNTIF('メンバー2'!G6:G55,"*未着手*")</f>
        <v/>
      </c>
      <c r="J6" s="9">
        <f>'メンバー2'!H2</f>
        <v/>
      </c>
      <c r="K6" s="9">
        <f>30-F6</f>
        <v/>
      </c>
    </row>
    <row r="7" ht="24" customHeight="1">
      <c r="A7" s="5" t="n">
        <v>3</v>
      </c>
      <c r="B7" s="5">
        <f>'メンバー3'!B2</f>
        <v/>
      </c>
      <c r="C7" s="6">
        <f>'メンバー3'!D2</f>
        <v/>
      </c>
      <c r="D7" s="7">
        <f>'メンバー3'!F2</f>
        <v/>
      </c>
      <c r="E7" s="8">
        <f>REPT("█",INT('メンバー3'!F2*20))&amp;REPT("░",20-INT('メンバー3'!F2*20))&amp;"  "&amp;TEXT('メンバー3'!F2,"0%")</f>
        <v/>
      </c>
      <c r="F7" s="5">
        <f>COUNTIF('メンバー3'!G6:G55,"*合格*")</f>
        <v/>
      </c>
      <c r="G7" s="5">
        <f>COUNTIF('メンバー3'!G6:G55,"*練習中*")</f>
        <v/>
      </c>
      <c r="H7" s="5">
        <f>COUNTIF('メンバー3'!G6:G55,"*遅れ*")</f>
        <v/>
      </c>
      <c r="I7" s="5">
        <f>COUNTIF('メンバー3'!G6:G55,"*未着手*")</f>
        <v/>
      </c>
      <c r="J7" s="5">
        <f>'メンバー3'!H2</f>
        <v/>
      </c>
      <c r="K7" s="5">
        <f>30-F7</f>
        <v/>
      </c>
    </row>
  </sheetData>
  <mergeCells count="2">
    <mergeCell ref="A2:K2"/>
    <mergeCell ref="A1:K1"/>
  </mergeCells>
  <conditionalFormatting sqref="D5:D7">
    <cfRule type="expression" priority="1" dxfId="0">
      <formula>D5&gt;=0.8</formula>
    </cfRule>
    <cfRule type="expression" priority="2" dxfId="1">
      <formula>AND(D5&gt;=0.5,D5&lt;0.8)</formula>
    </cfRule>
    <cfRule type="expression" priority="3" dxfId="2">
      <formula>D5&lt;0.5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3" customWidth="1" min="3" max="3"/>
    <col width="11" customWidth="1" min="4" max="4"/>
    <col width="11" customWidth="1" min="5" max="5"/>
    <col width="10" customWidth="1" min="6" max="6"/>
    <col width="14" customWidth="1" min="7" max="7"/>
    <col width="24" customWidth="1" min="8" max="8"/>
    <col width="28" customWidth="1" min="9" max="9"/>
  </cols>
  <sheetData>
    <row r="1" ht="44" customHeight="1">
      <c r="A1" s="1" t="inlineStr">
        <is>
          <t>🎓  第2弾：初成約〜1ヶ月  トレーニングシート</t>
        </is>
      </c>
    </row>
    <row r="2" ht="26" customHeight="1">
      <c r="A2" s="13" t="inlineStr">
        <is>
          <t>👤  メンバー名</t>
        </is>
      </c>
      <c r="B2" s="14" t="inlineStr">
        <is>
          <t>メンバー1</t>
        </is>
      </c>
      <c r="C2" s="13" t="inlineStr">
        <is>
          <t>📅  開始日</t>
        </is>
      </c>
      <c r="D2" s="15" t="n"/>
      <c r="E2" s="13" t="inlineStr">
        <is>
          <t>📊  全体進捗</t>
        </is>
      </c>
      <c r="F2" s="16">
        <f>AVERAGE(F8:F12,F16:F26,F30:F34,F38:F45,F49)</f>
        <v/>
      </c>
      <c r="G2" s="13" t="inlineStr">
        <is>
          <t>⏱  経過日数</t>
        </is>
      </c>
      <c r="H2" s="17">
        <f>IF(D2="","",TODAY()-D2)</f>
        <v/>
      </c>
      <c r="I2" s="13" t="inlineStr">
        <is>
          <t>日</t>
        </is>
      </c>
    </row>
    <row r="3" ht="22" customHeight="1">
      <c r="A3" s="18">
        <f>REPT("█",INT(F2*30))&amp;REPT("░",30-INT(F2*30))&amp;"  "&amp;TEXT(F2,"0%")&amp;" 完了"</f>
        <v/>
      </c>
    </row>
    <row r="4" ht="6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</row>
    <row r="5" ht="26" customHeight="1">
      <c r="A5" s="20" t="inlineStr">
        <is>
          <t>✔</t>
        </is>
      </c>
      <c r="B5" s="20" t="inlineStr">
        <is>
          <t>トレーニング項目</t>
        </is>
      </c>
      <c r="C5" s="20" t="inlineStr">
        <is>
          <t>目標日</t>
        </is>
      </c>
      <c r="D5" s="20" t="inlineStr">
        <is>
          <t>RP目標</t>
        </is>
      </c>
      <c r="E5" s="20" t="inlineStr">
        <is>
          <t>RP実績</t>
        </is>
      </c>
      <c r="F5" s="20" t="inlineStr">
        <is>
          <t>達成率</t>
        </is>
      </c>
      <c r="G5" s="20" t="inlineStr">
        <is>
          <t>ステータス</t>
        </is>
      </c>
      <c r="H5" s="20" t="inlineStr">
        <is>
          <t>進捗バー</t>
        </is>
      </c>
      <c r="I5" s="20" t="inlineStr">
        <is>
          <t>メモ</t>
        </is>
      </c>
    </row>
    <row r="6" ht="30" customHeight="1">
      <c r="A6" s="21" t="inlineStr">
        <is>
          <t>🎯  アポの解像度を上げるトレーニング</t>
        </is>
      </c>
    </row>
    <row r="7" ht="18" customHeight="1">
      <c r="A7" s="22" t="n"/>
      <c r="B7" s="23" t="inlineStr">
        <is>
          <t xml:space="preserve">　項目名</t>
        </is>
      </c>
      <c r="C7" s="24" t="inlineStr">
        <is>
          <t>目標日</t>
        </is>
      </c>
      <c r="D7" s="24" t="inlineStr">
        <is>
          <t>RP目標</t>
        </is>
      </c>
      <c r="E7" s="24" t="inlineStr">
        <is>
          <t>RP実績</t>
        </is>
      </c>
      <c r="F7" s="24" t="inlineStr">
        <is>
          <t>達成率</t>
        </is>
      </c>
      <c r="G7" s="24" t="inlineStr">
        <is>
          <t>ステータス</t>
        </is>
      </c>
      <c r="H7" s="24" t="inlineStr">
        <is>
          <t>進捗バー</t>
        </is>
      </c>
      <c r="I7" s="24" t="inlineStr">
        <is>
          <t>メモ</t>
        </is>
      </c>
    </row>
    <row r="8" ht="22" customHeight="1">
      <c r="A8" s="25" t="inlineStr">
        <is>
          <t>□</t>
        </is>
      </c>
      <c r="B8" s="26" t="inlineStr">
        <is>
          <t>アイスブレイク</t>
        </is>
      </c>
      <c r="C8" s="27" t="n"/>
      <c r="D8" s="28" t="n">
        <v>5</v>
      </c>
      <c r="E8" s="29" t="n">
        <v>0</v>
      </c>
      <c r="F8" s="30">
        <f>IF(D8=0,0,MIN(E8/D8,1))</f>
        <v/>
      </c>
      <c r="G8" s="31">
        <f>IF(AND(E8&gt;=D8,D8&gt;0),"✅ 合格",IF(E8&gt;0,"🔄 練習中",IF(AND(C8&lt;&gt;"",C8&lt;TODAY()),"🔴 遅れ","⬜ 未着手")))</f>
        <v/>
      </c>
      <c r="H8" s="32">
        <f>REPT("█",INT(F8*10))&amp;REPT("░",10-INT(F8*10))&amp;" "&amp;TEXT(F8,"0%")</f>
        <v/>
      </c>
      <c r="I8" s="33" t="n"/>
    </row>
    <row r="9" ht="22" customHeight="1">
      <c r="A9" s="34" t="inlineStr">
        <is>
          <t>□</t>
        </is>
      </c>
      <c r="B9" s="35" t="inlineStr">
        <is>
          <t>ヒアリング</t>
        </is>
      </c>
      <c r="C9" s="27" t="n"/>
      <c r="D9" s="36" t="n">
        <v>5</v>
      </c>
      <c r="E9" s="29" t="n">
        <v>0</v>
      </c>
      <c r="F9" s="37">
        <f>IF(D9=0,0,MIN(E9/D9,1))</f>
        <v/>
      </c>
      <c r="G9" s="38">
        <f>IF(AND(E9&gt;=D9,D9&gt;0),"✅ 合格",IF(E9&gt;0,"🔄 練習中",IF(AND(C9&lt;&gt;"",C9&lt;TODAY()),"🔴 遅れ","⬜ 未着手")))</f>
        <v/>
      </c>
      <c r="H9" s="39">
        <f>REPT("█",INT(F9*10))&amp;REPT("░",10-INT(F9*10))&amp;" "&amp;TEXT(F9,"0%")</f>
        <v/>
      </c>
      <c r="I9" s="33" t="n"/>
    </row>
    <row r="10" ht="22" customHeight="1">
      <c r="A10" s="25" t="inlineStr">
        <is>
          <t>□</t>
        </is>
      </c>
      <c r="B10" s="26" t="inlineStr">
        <is>
          <t>ストーリー</t>
        </is>
      </c>
      <c r="C10" s="27" t="n"/>
      <c r="D10" s="28" t="n">
        <v>5</v>
      </c>
      <c r="E10" s="29" t="n">
        <v>0</v>
      </c>
      <c r="F10" s="30">
        <f>IF(D10=0,0,MIN(E10/D10,1))</f>
        <v/>
      </c>
      <c r="G10" s="31">
        <f>IF(AND(E10&gt;=D10,D10&gt;0),"✅ 合格",IF(E10&gt;0,"🔄 練習中",IF(AND(C10&lt;&gt;"",C10&lt;TODAY()),"🔴 遅れ","⬜ 未着手")))</f>
        <v/>
      </c>
      <c r="H10" s="32">
        <f>REPT("█",INT(F10*10))&amp;REPT("░",10-INT(F10*10))&amp;" "&amp;TEXT(F10,"0%")</f>
        <v/>
      </c>
      <c r="I10" s="33" t="n"/>
    </row>
    <row r="11" ht="22" customHeight="1">
      <c r="A11" s="34" t="inlineStr">
        <is>
          <t>□</t>
        </is>
      </c>
      <c r="B11" s="35" t="inlineStr">
        <is>
          <t>提案資料</t>
        </is>
      </c>
      <c r="C11" s="27" t="n"/>
      <c r="D11" s="36" t="n">
        <v>3</v>
      </c>
      <c r="E11" s="29" t="n">
        <v>0</v>
      </c>
      <c r="F11" s="37">
        <f>IF(D11=0,0,MIN(E11/D11,1))</f>
        <v/>
      </c>
      <c r="G11" s="38">
        <f>IF(AND(E11&gt;=D11,D11&gt;0),"✅ 合格",IF(E11&gt;0,"🔄 練習中",IF(AND(C11&lt;&gt;"",C11&lt;TODAY()),"🔴 遅れ","⬜ 未着手")))</f>
        <v/>
      </c>
      <c r="H11" s="39">
        <f>REPT("█",INT(F11*10))&amp;REPT("░",10-INT(F11*10))&amp;" "&amp;TEXT(F11,"0%")</f>
        <v/>
      </c>
      <c r="I11" s="33" t="n"/>
    </row>
    <row r="12" ht="22" customHeight="1">
      <c r="A12" s="25" t="inlineStr">
        <is>
          <t>□</t>
        </is>
      </c>
      <c r="B12" s="26" t="inlineStr">
        <is>
          <t>ブリッジ</t>
        </is>
      </c>
      <c r="C12" s="27" t="n"/>
      <c r="D12" s="28" t="n">
        <v>5</v>
      </c>
      <c r="E12" s="29" t="n">
        <v>0</v>
      </c>
      <c r="F12" s="30">
        <f>IF(D12=0,0,MIN(E12/D12,1))</f>
        <v/>
      </c>
      <c r="G12" s="31">
        <f>IF(AND(E12&gt;=D12,D12&gt;0),"✅ 合格",IF(E12&gt;0,"🔄 練習中",IF(AND(C12&lt;&gt;"",C12&lt;TODAY()),"🔴 遅れ","⬜ 未着手")))</f>
        <v/>
      </c>
      <c r="H12" s="32">
        <f>REPT("█",INT(F12*10))&amp;REPT("░",10-INT(F12*10))&amp;" "&amp;TEXT(F12,"0%")</f>
        <v/>
      </c>
      <c r="I12" s="33" t="n"/>
    </row>
    <row r="13" ht="8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30" customHeight="1">
      <c r="A14" s="40" t="inlineStr">
        <is>
          <t>🎤  プレの解像度を上げるトレーニング</t>
        </is>
      </c>
    </row>
    <row r="15" ht="18" customHeight="1">
      <c r="A15" s="41" t="n"/>
      <c r="B15" s="42" t="inlineStr">
        <is>
          <t xml:space="preserve">　項目名</t>
        </is>
      </c>
      <c r="C15" s="43" t="inlineStr">
        <is>
          <t>目標日</t>
        </is>
      </c>
      <c r="D15" s="43" t="inlineStr">
        <is>
          <t>RP目標</t>
        </is>
      </c>
      <c r="E15" s="43" t="inlineStr">
        <is>
          <t>RP実績</t>
        </is>
      </c>
      <c r="F15" s="43" t="inlineStr">
        <is>
          <t>達成率</t>
        </is>
      </c>
      <c r="G15" s="43" t="inlineStr">
        <is>
          <t>ステータス</t>
        </is>
      </c>
      <c r="H15" s="43" t="inlineStr">
        <is>
          <t>進捗バー</t>
        </is>
      </c>
      <c r="I15" s="43" t="inlineStr">
        <is>
          <t>メモ</t>
        </is>
      </c>
    </row>
    <row r="16" ht="22" customHeight="1">
      <c r="A16" s="25" t="inlineStr">
        <is>
          <t>□</t>
        </is>
      </c>
      <c r="B16" s="26" t="inlineStr">
        <is>
          <t>再アイスブレイク</t>
        </is>
      </c>
      <c r="C16" s="27" t="n"/>
      <c r="D16" s="28" t="n">
        <v>5</v>
      </c>
      <c r="E16" s="29" t="n">
        <v>0</v>
      </c>
      <c r="F16" s="30">
        <f>IF(D16=0,0,MIN(E16/D16,1))</f>
        <v/>
      </c>
      <c r="G16" s="31">
        <f>IF(AND(E16&gt;=D16,D16&gt;0),"✅ 合格",IF(E16&gt;0,"🔄 練習中",IF(AND(C16&lt;&gt;"",C16&lt;TODAY()),"🔴 遅れ","⬜ 未着手")))</f>
        <v/>
      </c>
      <c r="H16" s="32">
        <f>REPT("█",INT(F16*10))&amp;REPT("░",10-INT(F16*10))&amp;" "&amp;TEXT(F16,"0%")</f>
        <v/>
      </c>
      <c r="I16" s="33" t="n"/>
    </row>
    <row r="17" ht="22" customHeight="1">
      <c r="A17" s="44" t="inlineStr">
        <is>
          <t>□</t>
        </is>
      </c>
      <c r="B17" s="45" t="inlineStr">
        <is>
          <t>再ヒアリング</t>
        </is>
      </c>
      <c r="C17" s="27" t="n"/>
      <c r="D17" s="46" t="n">
        <v>5</v>
      </c>
      <c r="E17" s="29" t="n">
        <v>0</v>
      </c>
      <c r="F17" s="47">
        <f>IF(D17=0,0,MIN(E17/D17,1))</f>
        <v/>
      </c>
      <c r="G17" s="48">
        <f>IF(AND(E17&gt;=D17,D17&gt;0),"✅ 合格",IF(E17&gt;0,"🔄 練習中",IF(AND(C17&lt;&gt;"",C17&lt;TODAY()),"🔴 遅れ","⬜ 未着手")))</f>
        <v/>
      </c>
      <c r="H17" s="49">
        <f>REPT("█",INT(F17*10))&amp;REPT("░",10-INT(F17*10))&amp;" "&amp;TEXT(F17,"0%")</f>
        <v/>
      </c>
      <c r="I17" s="33" t="n"/>
    </row>
    <row r="18" ht="22" customHeight="1">
      <c r="A18" s="25" t="inlineStr">
        <is>
          <t>□</t>
        </is>
      </c>
      <c r="B18" s="26" t="inlineStr">
        <is>
          <t>前回の振り返り</t>
        </is>
      </c>
      <c r="C18" s="27" t="n"/>
      <c r="D18" s="28" t="n">
        <v>3</v>
      </c>
      <c r="E18" s="29" t="n">
        <v>0</v>
      </c>
      <c r="F18" s="30">
        <f>IF(D18=0,0,MIN(E18/D18,1))</f>
        <v/>
      </c>
      <c r="G18" s="31">
        <f>IF(AND(E18&gt;=D18,D18&gt;0),"✅ 合格",IF(E18&gt;0,"🔄 練習中",IF(AND(C18&lt;&gt;"",C18&lt;TODAY()),"🔴 遅れ","⬜ 未着手")))</f>
        <v/>
      </c>
      <c r="H18" s="32">
        <f>REPT("█",INT(F18*10))&amp;REPT("░",10-INT(F18*10))&amp;" "&amp;TEXT(F18,"0%")</f>
        <v/>
      </c>
      <c r="I18" s="33" t="n"/>
    </row>
    <row r="19" ht="22" customHeight="1">
      <c r="A19" s="44" t="inlineStr">
        <is>
          <t>□</t>
        </is>
      </c>
      <c r="B19" s="45" t="inlineStr">
        <is>
          <t>不安ヒアリング・検討潰し</t>
        </is>
      </c>
      <c r="C19" s="27" t="n"/>
      <c r="D19" s="46" t="n">
        <v>8</v>
      </c>
      <c r="E19" s="29" t="n">
        <v>0</v>
      </c>
      <c r="F19" s="47">
        <f>IF(D19=0,0,MIN(E19/D19,1))</f>
        <v/>
      </c>
      <c r="G19" s="48">
        <f>IF(AND(E19&gt;=D19,D19&gt;0),"✅ 合格",IF(E19&gt;0,"🔄 練習中",IF(AND(C19&lt;&gt;"",C19&lt;TODAY()),"🔴 遅れ","⬜ 未着手")))</f>
        <v/>
      </c>
      <c r="H19" s="49">
        <f>REPT("█",INT(F19*10))&amp;REPT("░",10-INT(F19*10))&amp;" "&amp;TEXT(F19,"0%")</f>
        <v/>
      </c>
      <c r="I19" s="33" t="n"/>
    </row>
    <row r="20" ht="22" customHeight="1">
      <c r="A20" s="25" t="inlineStr">
        <is>
          <t>□</t>
        </is>
      </c>
      <c r="B20" s="26" t="inlineStr">
        <is>
          <t>サポート説明</t>
        </is>
      </c>
      <c r="C20" s="27" t="n"/>
      <c r="D20" s="28" t="n">
        <v>5</v>
      </c>
      <c r="E20" s="29" t="n">
        <v>0</v>
      </c>
      <c r="F20" s="30">
        <f>IF(D20=0,0,MIN(E20/D20,1))</f>
        <v/>
      </c>
      <c r="G20" s="31">
        <f>IF(AND(E20&gt;=D20,D20&gt;0),"✅ 合格",IF(E20&gt;0,"🔄 練習中",IF(AND(C20&lt;&gt;"",C20&lt;TODAY()),"🔴 遅れ","⬜ 未着手")))</f>
        <v/>
      </c>
      <c r="H20" s="32">
        <f>REPT("█",INT(F20*10))&amp;REPT("░",10-INT(F20*10))&amp;" "&amp;TEXT(F20,"0%")</f>
        <v/>
      </c>
      <c r="I20" s="33" t="n"/>
    </row>
    <row r="21" ht="22" customHeight="1">
      <c r="A21" s="44" t="inlineStr">
        <is>
          <t>□</t>
        </is>
      </c>
      <c r="B21" s="45" t="inlineStr">
        <is>
          <t>卒業生の話</t>
        </is>
      </c>
      <c r="C21" s="27" t="n"/>
      <c r="D21" s="46" t="n">
        <v>5</v>
      </c>
      <c r="E21" s="29" t="n">
        <v>0</v>
      </c>
      <c r="F21" s="47">
        <f>IF(D21=0,0,MIN(E21/D21,1))</f>
        <v/>
      </c>
      <c r="G21" s="48">
        <f>IF(AND(E21&gt;=D21,D21&gt;0),"✅ 合格",IF(E21&gt;0,"🔄 練習中",IF(AND(C21&lt;&gt;"",C21&lt;TODAY()),"🔴 遅れ","⬜ 未着手")))</f>
        <v/>
      </c>
      <c r="H21" s="49">
        <f>REPT("█",INT(F21*10))&amp;REPT("░",10-INT(F21*10))&amp;" "&amp;TEXT(F21,"0%")</f>
        <v/>
      </c>
      <c r="I21" s="33" t="n"/>
    </row>
    <row r="22" ht="22" customHeight="1">
      <c r="A22" s="25" t="inlineStr">
        <is>
          <t>□</t>
        </is>
      </c>
      <c r="B22" s="26" t="inlineStr">
        <is>
          <t>アンカリング</t>
        </is>
      </c>
      <c r="C22" s="27" t="n"/>
      <c r="D22" s="28" t="n">
        <v>5</v>
      </c>
      <c r="E22" s="29" t="n">
        <v>0</v>
      </c>
      <c r="F22" s="30">
        <f>IF(D22=0,0,MIN(E22/D22,1))</f>
        <v/>
      </c>
      <c r="G22" s="31">
        <f>IF(AND(E22&gt;=D22,D22&gt;0),"✅ 合格",IF(E22&gt;0,"🔄 練習中",IF(AND(C22&lt;&gt;"",C22&lt;TODAY()),"🔴 遅れ","⬜ 未着手")))</f>
        <v/>
      </c>
      <c r="H22" s="32">
        <f>REPT("█",INT(F22*10))&amp;REPT("░",10-INT(F22*10))&amp;" "&amp;TEXT(F22,"0%")</f>
        <v/>
      </c>
      <c r="I22" s="33" t="n"/>
    </row>
    <row r="23" ht="22" customHeight="1">
      <c r="A23" s="44" t="inlineStr">
        <is>
          <t>□</t>
        </is>
      </c>
      <c r="B23" s="45" t="inlineStr">
        <is>
          <t>金額オファー</t>
        </is>
      </c>
      <c r="C23" s="27" t="n"/>
      <c r="D23" s="46" t="n">
        <v>8</v>
      </c>
      <c r="E23" s="29" t="n">
        <v>0</v>
      </c>
      <c r="F23" s="47">
        <f>IF(D23=0,0,MIN(E23/D23,1))</f>
        <v/>
      </c>
      <c r="G23" s="48">
        <f>IF(AND(E23&gt;=D23,D23&gt;0),"✅ 合格",IF(E23&gt;0,"🔄 練習中",IF(AND(C23&lt;&gt;"",C23&lt;TODAY()),"🔴 遅れ","⬜ 未着手")))</f>
        <v/>
      </c>
      <c r="H23" s="49">
        <f>REPT("█",INT(F23*10))&amp;REPT("░",10-INT(F23*10))&amp;" "&amp;TEXT(F23,"0%")</f>
        <v/>
      </c>
      <c r="I23" s="33" t="n"/>
    </row>
    <row r="24" ht="22" customHeight="1">
      <c r="A24" s="25" t="inlineStr">
        <is>
          <t>□</t>
        </is>
      </c>
      <c r="B24" s="26" t="inlineStr">
        <is>
          <t>言質後トーク</t>
        </is>
      </c>
      <c r="C24" s="27" t="n"/>
      <c r="D24" s="28" t="n">
        <v>5</v>
      </c>
      <c r="E24" s="29" t="n">
        <v>0</v>
      </c>
      <c r="F24" s="30">
        <f>IF(D24=0,0,MIN(E24/D24,1))</f>
        <v/>
      </c>
      <c r="G24" s="31">
        <f>IF(AND(E24&gt;=D24,D24&gt;0),"✅ 合格",IF(E24&gt;0,"🔄 練習中",IF(AND(C24&lt;&gt;"",C24&lt;TODAY()),"🔴 遅れ","⬜ 未着手")))</f>
        <v/>
      </c>
      <c r="H24" s="32">
        <f>REPT("█",INT(F24*10))&amp;REPT("░",10-INT(F24*10))&amp;" "&amp;TEXT(F24,"0%")</f>
        <v/>
      </c>
      <c r="I24" s="33" t="n"/>
    </row>
    <row r="25" ht="22" customHeight="1">
      <c r="A25" s="44" t="inlineStr">
        <is>
          <t>□</t>
        </is>
      </c>
      <c r="B25" s="45" t="inlineStr">
        <is>
          <t>切り返し</t>
        </is>
      </c>
      <c r="C25" s="27" t="n"/>
      <c r="D25" s="46" t="n">
        <v>10</v>
      </c>
      <c r="E25" s="29" t="n">
        <v>0</v>
      </c>
      <c r="F25" s="47">
        <f>IF(D25=0,0,MIN(E25/D25,1))</f>
        <v/>
      </c>
      <c r="G25" s="48">
        <f>IF(AND(E25&gt;=D25,D25&gt;0),"✅ 合格",IF(E25&gt;0,"🔄 練習中",IF(AND(C25&lt;&gt;"",C25&lt;TODAY()),"🔴 遅れ","⬜ 未着手")))</f>
        <v/>
      </c>
      <c r="H25" s="49">
        <f>REPT("█",INT(F25*10))&amp;REPT("░",10-INT(F25*10))&amp;" "&amp;TEXT(F25,"0%")</f>
        <v/>
      </c>
      <c r="I25" s="33" t="n"/>
    </row>
    <row r="26" ht="22" customHeight="1">
      <c r="A26" s="25" t="inlineStr">
        <is>
          <t>□</t>
        </is>
      </c>
      <c r="B26" s="26" t="inlineStr">
        <is>
          <t>ボイチェン提案</t>
        </is>
      </c>
      <c r="C26" s="27" t="n"/>
      <c r="D26" s="28" t="n">
        <v>5</v>
      </c>
      <c r="E26" s="29" t="n">
        <v>0</v>
      </c>
      <c r="F26" s="30">
        <f>IF(D26=0,0,MIN(E26/D26,1))</f>
        <v/>
      </c>
      <c r="G26" s="31">
        <f>IF(AND(E26&gt;=D26,D26&gt;0),"✅ 合格",IF(E26&gt;0,"🔄 練習中",IF(AND(C26&lt;&gt;"",C26&lt;TODAY()),"🔴 遅れ","⬜ 未着手")))</f>
        <v/>
      </c>
      <c r="H26" s="32">
        <f>REPT("█",INT(F26*10))&amp;REPT("░",10-INT(F26*10))&amp;" "&amp;TEXT(F26,"0%")</f>
        <v/>
      </c>
      <c r="I26" s="33" t="n"/>
    </row>
    <row r="27" ht="8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30" customHeight="1">
      <c r="A28" s="50" t="inlineStr">
        <is>
          <t>💬  渋りトーク</t>
        </is>
      </c>
    </row>
    <row r="29" ht="18" customHeight="1">
      <c r="A29" s="51" t="n"/>
      <c r="B29" s="52" t="inlineStr">
        <is>
          <t xml:space="preserve">　項目名</t>
        </is>
      </c>
      <c r="C29" s="53" t="inlineStr">
        <is>
          <t>目標日</t>
        </is>
      </c>
      <c r="D29" s="53" t="inlineStr">
        <is>
          <t>RP目標</t>
        </is>
      </c>
      <c r="E29" s="53" t="inlineStr">
        <is>
          <t>RP実績</t>
        </is>
      </c>
      <c r="F29" s="53" t="inlineStr">
        <is>
          <t>達成率</t>
        </is>
      </c>
      <c r="G29" s="53" t="inlineStr">
        <is>
          <t>ステータス</t>
        </is>
      </c>
      <c r="H29" s="53" t="inlineStr">
        <is>
          <t>進捗バー</t>
        </is>
      </c>
      <c r="I29" s="53" t="inlineStr">
        <is>
          <t>メモ</t>
        </is>
      </c>
    </row>
    <row r="30" ht="22" customHeight="1">
      <c r="A30" s="25" t="inlineStr">
        <is>
          <t>□</t>
        </is>
      </c>
      <c r="B30" s="26" t="inlineStr">
        <is>
          <t>金額渋りトーク</t>
        </is>
      </c>
      <c r="C30" s="27" t="n"/>
      <c r="D30" s="28" t="n">
        <v>8</v>
      </c>
      <c r="E30" s="29" t="n">
        <v>0</v>
      </c>
      <c r="F30" s="30">
        <f>IF(D30=0,0,MIN(E30/D30,1))</f>
        <v/>
      </c>
      <c r="G30" s="31">
        <f>IF(AND(E30&gt;=D30,D30&gt;0),"✅ 合格",IF(E30&gt;0,"🔄 練習中",IF(AND(C30&lt;&gt;"",C30&lt;TODAY()),"🔴 遅れ","⬜ 未着手")))</f>
        <v/>
      </c>
      <c r="H30" s="32">
        <f>REPT("█",INT(F30*10))&amp;REPT("░",10-INT(F30*10))&amp;" "&amp;TEXT(F30,"0%")</f>
        <v/>
      </c>
      <c r="I30" s="33" t="n"/>
    </row>
    <row r="31" ht="22" customHeight="1">
      <c r="A31" s="54" t="inlineStr">
        <is>
          <t>□</t>
        </is>
      </c>
      <c r="B31" s="55" t="inlineStr">
        <is>
          <t>相談渋りのトーク</t>
        </is>
      </c>
      <c r="C31" s="27" t="n"/>
      <c r="D31" s="56" t="n">
        <v>8</v>
      </c>
      <c r="E31" s="29" t="n">
        <v>0</v>
      </c>
      <c r="F31" s="57">
        <f>IF(D31=0,0,MIN(E31/D31,1))</f>
        <v/>
      </c>
      <c r="G31" s="58">
        <f>IF(AND(E31&gt;=D31,D31&gt;0),"✅ 合格",IF(E31&gt;0,"🔄 練習中",IF(AND(C31&lt;&gt;"",C31&lt;TODAY()),"🔴 遅れ","⬜ 未着手")))</f>
        <v/>
      </c>
      <c r="H31" s="59">
        <f>REPT("█",INT(F31*10))&amp;REPT("░",10-INT(F31*10))&amp;" "&amp;TEXT(F31,"0%")</f>
        <v/>
      </c>
      <c r="I31" s="33" t="n"/>
    </row>
    <row r="32" ht="22" customHeight="1">
      <c r="A32" s="25" t="inlineStr">
        <is>
          <t>□</t>
        </is>
      </c>
      <c r="B32" s="26" t="inlineStr">
        <is>
          <t>他社比較渋りトーク</t>
        </is>
      </c>
      <c r="C32" s="27" t="n"/>
      <c r="D32" s="28" t="n">
        <v>5</v>
      </c>
      <c r="E32" s="29" t="n">
        <v>0</v>
      </c>
      <c r="F32" s="30">
        <f>IF(D32=0,0,MIN(E32/D32,1))</f>
        <v/>
      </c>
      <c r="G32" s="31">
        <f>IF(AND(E32&gt;=D32,D32&gt;0),"✅ 合格",IF(E32&gt;0,"🔄 練習中",IF(AND(C32&lt;&gt;"",C32&lt;TODAY()),"🔴 遅れ","⬜ 未着手")))</f>
        <v/>
      </c>
      <c r="H32" s="32">
        <f>REPT("█",INT(F32*10))&amp;REPT("░",10-INT(F32*10))&amp;" "&amp;TEXT(F32,"0%")</f>
        <v/>
      </c>
      <c r="I32" s="33" t="n"/>
    </row>
    <row r="33" ht="22" customHeight="1">
      <c r="A33" s="54" t="inlineStr">
        <is>
          <t>□</t>
        </is>
      </c>
      <c r="B33" s="55" t="inlineStr">
        <is>
          <t>自信ない渋りトーク</t>
        </is>
      </c>
      <c r="C33" s="27" t="n"/>
      <c r="D33" s="56" t="n">
        <v>5</v>
      </c>
      <c r="E33" s="29" t="n">
        <v>0</v>
      </c>
      <c r="F33" s="57">
        <f>IF(D33=0,0,MIN(E33/D33,1))</f>
        <v/>
      </c>
      <c r="G33" s="58">
        <f>IF(AND(E33&gt;=D33,D33&gt;0),"✅ 合格",IF(E33&gt;0,"🔄 練習中",IF(AND(C33&lt;&gt;"",C33&lt;TODAY()),"🔴 遅れ","⬜ 未着手")))</f>
        <v/>
      </c>
      <c r="H33" s="59">
        <f>REPT("█",INT(F33*10))&amp;REPT("░",10-INT(F33*10))&amp;" "&amp;TEXT(F33,"0%")</f>
        <v/>
      </c>
      <c r="I33" s="33" t="n"/>
    </row>
    <row r="34" ht="22" customHeight="1">
      <c r="A34" s="25" t="inlineStr">
        <is>
          <t>□</t>
        </is>
      </c>
      <c r="B34" s="26" t="inlineStr">
        <is>
          <t>今じゃない渋りトーク</t>
        </is>
      </c>
      <c r="C34" s="27" t="n"/>
      <c r="D34" s="28" t="n">
        <v>5</v>
      </c>
      <c r="E34" s="29" t="n">
        <v>0</v>
      </c>
      <c r="F34" s="30">
        <f>IF(D34=0,0,MIN(E34/D34,1))</f>
        <v/>
      </c>
      <c r="G34" s="31">
        <f>IF(AND(E34&gt;=D34,D34&gt;0),"✅ 合格",IF(E34&gt;0,"🔄 練習中",IF(AND(C34&lt;&gt;"",C34&lt;TODAY()),"🔴 遅れ","⬜ 未着手")))</f>
        <v/>
      </c>
      <c r="H34" s="32">
        <f>REPT("█",INT(F34*10))&amp;REPT("░",10-INT(F34*10))&amp;" "&amp;TEXT(F34,"0%")</f>
        <v/>
      </c>
      <c r="I34" s="33" t="n"/>
    </row>
    <row r="35" ht="8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30" customHeight="1">
      <c r="A36" s="60" t="inlineStr">
        <is>
          <t>⚡  スキル強化</t>
        </is>
      </c>
    </row>
    <row r="37" ht="18" customHeight="1">
      <c r="A37" s="61" t="n"/>
      <c r="B37" s="62" t="inlineStr">
        <is>
          <t xml:space="preserve">　項目名</t>
        </is>
      </c>
      <c r="C37" s="63" t="inlineStr">
        <is>
          <t>目標日</t>
        </is>
      </c>
      <c r="D37" s="63" t="inlineStr">
        <is>
          <t>RP目標</t>
        </is>
      </c>
      <c r="E37" s="63" t="inlineStr">
        <is>
          <t>RP実績</t>
        </is>
      </c>
      <c r="F37" s="63" t="inlineStr">
        <is>
          <t>達成率</t>
        </is>
      </c>
      <c r="G37" s="63" t="inlineStr">
        <is>
          <t>ステータス</t>
        </is>
      </c>
      <c r="H37" s="63" t="inlineStr">
        <is>
          <t>進捗バー</t>
        </is>
      </c>
      <c r="I37" s="63" t="inlineStr">
        <is>
          <t>メモ</t>
        </is>
      </c>
    </row>
    <row r="38" ht="22" customHeight="1">
      <c r="A38" s="25" t="inlineStr">
        <is>
          <t>□</t>
        </is>
      </c>
      <c r="B38" s="26" t="inlineStr">
        <is>
          <t>アポやプレでの時間配分の徹底</t>
        </is>
      </c>
      <c r="C38" s="27" t="n"/>
      <c r="D38" s="28" t="n">
        <v>3</v>
      </c>
      <c r="E38" s="29" t="n">
        <v>0</v>
      </c>
      <c r="F38" s="30">
        <f>IF(D38=0,0,MIN(E38/D38,1))</f>
        <v/>
      </c>
      <c r="G38" s="31">
        <f>IF(AND(E38&gt;=D38,D38&gt;0),"✅ 合格",IF(E38&gt;0,"🔄 練習中",IF(AND(C38&lt;&gt;"",C38&lt;TODAY()),"🔴 遅れ","⬜ 未着手")))</f>
        <v/>
      </c>
      <c r="H38" s="32">
        <f>REPT("█",INT(F38*10))&amp;REPT("░",10-INT(F38*10))&amp;" "&amp;TEXT(F38,"0%")</f>
        <v/>
      </c>
      <c r="I38" s="33" t="n"/>
    </row>
    <row r="39" ht="22" customHeight="1">
      <c r="A39" s="64" t="inlineStr">
        <is>
          <t>□</t>
        </is>
      </c>
      <c r="B39" s="65" t="inlineStr">
        <is>
          <t>ボイチェン提案</t>
        </is>
      </c>
      <c r="C39" s="27" t="n"/>
      <c r="D39" s="66" t="n">
        <v>3</v>
      </c>
      <c r="E39" s="29" t="n">
        <v>0</v>
      </c>
      <c r="F39" s="67">
        <f>IF(D39=0,0,MIN(E39/D39,1))</f>
        <v/>
      </c>
      <c r="G39" s="68">
        <f>IF(AND(E39&gt;=D39,D39&gt;0),"✅ 合格",IF(E39&gt;0,"🔄 練習中",IF(AND(C39&lt;&gt;"",C39&lt;TODAY()),"🔴 遅れ","⬜ 未着手")))</f>
        <v/>
      </c>
      <c r="H39" s="69">
        <f>REPT("█",INT(F39*10))&amp;REPT("░",10-INT(F39*10))&amp;" "&amp;TEXT(F39,"0%")</f>
        <v/>
      </c>
      <c r="I39" s="33" t="n"/>
    </row>
    <row r="40" ht="22" customHeight="1">
      <c r="A40" s="25" t="inlineStr">
        <is>
          <t>□</t>
        </is>
      </c>
      <c r="B40" s="26" t="inlineStr">
        <is>
          <t>不安ヒアリング</t>
        </is>
      </c>
      <c r="C40" s="27" t="n"/>
      <c r="D40" s="28" t="n">
        <v>5</v>
      </c>
      <c r="E40" s="29" t="n">
        <v>0</v>
      </c>
      <c r="F40" s="30">
        <f>IF(D40=0,0,MIN(E40/D40,1))</f>
        <v/>
      </c>
      <c r="G40" s="31">
        <f>IF(AND(E40&gt;=D40,D40&gt;0),"✅ 合格",IF(E40&gt;0,"🔄 練習中",IF(AND(C40&lt;&gt;"",C40&lt;TODAY()),"🔴 遅れ","⬜ 未着手")))</f>
        <v/>
      </c>
      <c r="H40" s="32">
        <f>REPT("█",INT(F40*10))&amp;REPT("░",10-INT(F40*10))&amp;" "&amp;TEXT(F40,"0%")</f>
        <v/>
      </c>
      <c r="I40" s="33" t="n"/>
    </row>
    <row r="41" ht="22" customHeight="1">
      <c r="A41" s="64" t="inlineStr">
        <is>
          <t>□</t>
        </is>
      </c>
      <c r="B41" s="65" t="inlineStr">
        <is>
          <t>資金繰りの解像度UP（カードの分割・最低限の金融リテラシー）</t>
        </is>
      </c>
      <c r="C41" s="27" t="n"/>
      <c r="D41" s="66" t="n">
        <v>3</v>
      </c>
      <c r="E41" s="29" t="n">
        <v>0</v>
      </c>
      <c r="F41" s="67">
        <f>IF(D41=0,0,MIN(E41/D41,1))</f>
        <v/>
      </c>
      <c r="G41" s="68">
        <f>IF(AND(E41&gt;=D41,D41&gt;0),"✅ 合格",IF(E41&gt;0,"🔄 練習中",IF(AND(C41&lt;&gt;"",C41&lt;TODAY()),"🔴 遅れ","⬜ 未着手")))</f>
        <v/>
      </c>
      <c r="H41" s="69">
        <f>REPT("█",INT(F41*10))&amp;REPT("░",10-INT(F41*10))&amp;" "&amp;TEXT(F41,"0%")</f>
        <v/>
      </c>
      <c r="I41" s="33" t="n"/>
    </row>
    <row r="42" ht="22" customHeight="1">
      <c r="A42" s="25" t="inlineStr">
        <is>
          <t>□</t>
        </is>
      </c>
      <c r="B42" s="26" t="inlineStr">
        <is>
          <t>事実解釈の区別</t>
        </is>
      </c>
      <c r="C42" s="27" t="n"/>
      <c r="D42" s="28" t="n">
        <v>3</v>
      </c>
      <c r="E42" s="29" t="n">
        <v>0</v>
      </c>
      <c r="F42" s="30">
        <f>IF(D42=0,0,MIN(E42/D42,1))</f>
        <v/>
      </c>
      <c r="G42" s="31">
        <f>IF(AND(E42&gt;=D42,D42&gt;0),"✅ 合格",IF(E42&gt;0,"🔄 練習中",IF(AND(C42&lt;&gt;"",C42&lt;TODAY()),"🔴 遅れ","⬜ 未着手")))</f>
        <v/>
      </c>
      <c r="H42" s="32">
        <f>REPT("█",INT(F42*10))&amp;REPT("░",10-INT(F42*10))&amp;" "&amp;TEXT(F42,"0%")</f>
        <v/>
      </c>
      <c r="I42" s="33" t="n"/>
    </row>
    <row r="43" ht="22" customHeight="1">
      <c r="A43" s="64" t="inlineStr">
        <is>
          <t>□</t>
        </is>
      </c>
      <c r="B43" s="65" t="inlineStr">
        <is>
          <t>問題と思わしくないことの区別</t>
        </is>
      </c>
      <c r="C43" s="27" t="n"/>
      <c r="D43" s="66" t="n">
        <v>3</v>
      </c>
      <c r="E43" s="29" t="n">
        <v>0</v>
      </c>
      <c r="F43" s="67">
        <f>IF(D43=0,0,MIN(E43/D43,1))</f>
        <v/>
      </c>
      <c r="G43" s="68">
        <f>IF(AND(E43&gt;=D43,D43&gt;0),"✅ 合格",IF(E43&gt;0,"🔄 練習中",IF(AND(C43&lt;&gt;"",C43&lt;TODAY()),"🔴 遅れ","⬜ 未着手")))</f>
        <v/>
      </c>
      <c r="H43" s="69">
        <f>REPT("█",INT(F43*10))&amp;REPT("░",10-INT(F43*10))&amp;" "&amp;TEXT(F43,"0%")</f>
        <v/>
      </c>
      <c r="I43" s="33" t="n"/>
    </row>
    <row r="44" ht="22" customHeight="1">
      <c r="A44" s="25" t="inlineStr">
        <is>
          <t>□</t>
        </is>
      </c>
      <c r="B44" s="26" t="inlineStr">
        <is>
          <t>方針方法の区別</t>
        </is>
      </c>
      <c r="C44" s="27" t="n"/>
      <c r="D44" s="28" t="n">
        <v>3</v>
      </c>
      <c r="E44" s="29" t="n">
        <v>0</v>
      </c>
      <c r="F44" s="30">
        <f>IF(D44=0,0,MIN(E44/D44,1))</f>
        <v/>
      </c>
      <c r="G44" s="31">
        <f>IF(AND(E44&gt;=D44,D44&gt;0),"✅ 合格",IF(E44&gt;0,"🔄 練習中",IF(AND(C44&lt;&gt;"",C44&lt;TODAY()),"🔴 遅れ","⬜ 未着手")))</f>
        <v/>
      </c>
      <c r="H44" s="32">
        <f>REPT("█",INT(F44*10))&amp;REPT("░",10-INT(F44*10))&amp;" "&amp;TEXT(F44,"0%")</f>
        <v/>
      </c>
      <c r="I44" s="33" t="n"/>
    </row>
    <row r="45" ht="22" customHeight="1">
      <c r="A45" s="64" t="inlineStr">
        <is>
          <t>□</t>
        </is>
      </c>
      <c r="B45" s="65" t="inlineStr">
        <is>
          <t>MSの立て方</t>
        </is>
      </c>
      <c r="C45" s="27" t="n"/>
      <c r="D45" s="66" t="n">
        <v>5</v>
      </c>
      <c r="E45" s="29" t="n">
        <v>0</v>
      </c>
      <c r="F45" s="67">
        <f>IF(D45=0,0,MIN(E45/D45,1))</f>
        <v/>
      </c>
      <c r="G45" s="68">
        <f>IF(AND(E45&gt;=D45,D45&gt;0),"✅ 合格",IF(E45&gt;0,"🔄 練習中",IF(AND(C45&lt;&gt;"",C45&lt;TODAY()),"🔴 遅れ","⬜ 未着手")))</f>
        <v/>
      </c>
      <c r="H45" s="69">
        <f>REPT("█",INT(F45*10))&amp;REPT("░",10-INT(F45*10))&amp;" "&amp;TEXT(F45,"0%")</f>
        <v/>
      </c>
      <c r="I45" s="33" t="n"/>
    </row>
    <row r="46" ht="8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30" customHeight="1">
      <c r="A47" s="70" t="inlineStr">
        <is>
          <t>🧠  マインド編（ウェブフリワークブック）</t>
        </is>
      </c>
    </row>
    <row r="48" ht="18" customHeight="1">
      <c r="A48" s="71" t="n"/>
      <c r="B48" s="72" t="inlineStr">
        <is>
          <t xml:space="preserve">　項目名</t>
        </is>
      </c>
      <c r="C48" s="73" t="inlineStr">
        <is>
          <t>目標日</t>
        </is>
      </c>
      <c r="D48" s="73" t="inlineStr">
        <is>
          <t>RP目標</t>
        </is>
      </c>
      <c r="E48" s="73" t="inlineStr">
        <is>
          <t>RP実績</t>
        </is>
      </c>
      <c r="F48" s="73" t="inlineStr">
        <is>
          <t>達成率</t>
        </is>
      </c>
      <c r="G48" s="73" t="inlineStr">
        <is>
          <t>ステータス</t>
        </is>
      </c>
      <c r="H48" s="73" t="inlineStr">
        <is>
          <t>進捗バー</t>
        </is>
      </c>
      <c r="I48" s="73" t="inlineStr">
        <is>
          <t>メモ</t>
        </is>
      </c>
    </row>
    <row r="49" ht="22" customHeight="1">
      <c r="A49" s="25" t="inlineStr">
        <is>
          <t>□</t>
        </is>
      </c>
      <c r="B49" s="26" t="inlineStr">
        <is>
          <t>ウェブフリワークブック（マインド編）</t>
        </is>
      </c>
      <c r="C49" s="27" t="n"/>
      <c r="D49" s="28" t="n">
        <v>1</v>
      </c>
      <c r="E49" s="29" t="n">
        <v>0</v>
      </c>
      <c r="F49" s="30">
        <f>IF(D49=0,0,MIN(E49/D49,1))</f>
        <v/>
      </c>
      <c r="G49" s="31">
        <f>IF(AND(E49&gt;=D49,D49&gt;0),"✅ 合格",IF(E49&gt;0,"🔄 練習中",IF(AND(C49&lt;&gt;"",C49&lt;TODAY()),"🔴 遅れ","⬜ 未着手")))</f>
        <v/>
      </c>
      <c r="H49" s="32">
        <f>REPT("█",INT(F49*10))&amp;REPT("░",10-INT(F49*10))&amp;" "&amp;TEXT(F49,"0%")</f>
        <v/>
      </c>
      <c r="I49" s="33" t="n"/>
    </row>
    <row r="50" ht="8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</row>
  </sheetData>
  <mergeCells count="7">
    <mergeCell ref="A47:I47"/>
    <mergeCell ref="A28:I28"/>
    <mergeCell ref="A36:I36"/>
    <mergeCell ref="A14:I14"/>
    <mergeCell ref="A1:I1"/>
    <mergeCell ref="A3:I3"/>
    <mergeCell ref="A6:I6"/>
  </mergeCells>
  <conditionalFormatting sqref="G6:G51">
    <cfRule type="expression" priority="1" dxfId="3">
      <formula>ISNUMBER(SEARCH("合格",G6))</formula>
    </cfRule>
    <cfRule type="expression" priority="2" dxfId="1">
      <formula>ISNUMBER(SEARCH("練習中",G6))</formula>
    </cfRule>
    <cfRule type="expression" priority="3" dxfId="2">
      <formula>ISNUMBER(SEARCH("遅れ",G6))</formula>
    </cfRule>
    <cfRule type="expression" priority="4" dxfId="4">
      <formula>ISNUMBER(SEARCH("未着手",G6))</formula>
    </cfRule>
  </conditionalFormatting>
  <conditionalFormatting sqref="A6:I51">
    <cfRule type="expression" priority="5" dxfId="5">
      <formula>$A6="✓"</formula>
    </cfRule>
  </conditionalFormatting>
  <conditionalFormatting sqref="C6:C51">
    <cfRule type="expression" priority="6" dxfId="6">
      <formula>AND(C6&lt;&gt;"",C6&lt;TODAY(),E6&lt;D6)</formula>
    </cfRule>
  </conditionalFormatting>
  <dataValidations count="1">
    <dataValidation sqref="A8 A9 A10 A11 A12 A16 A17 A18 A19 A20 A21 A22 A23 A24 A25 A26 A30 A31 A32 A33 A34 A38 A39 A40 A41 A42 A43 A44 A45 A49" showDropDown="0" showInputMessage="0" showErrorMessage="0" allowBlank="0" type="list">
      <formula1>"□,✓"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3" customWidth="1" min="3" max="3"/>
    <col width="11" customWidth="1" min="4" max="4"/>
    <col width="11" customWidth="1" min="5" max="5"/>
    <col width="10" customWidth="1" min="6" max="6"/>
    <col width="14" customWidth="1" min="7" max="7"/>
    <col width="24" customWidth="1" min="8" max="8"/>
    <col width="28" customWidth="1" min="9" max="9"/>
  </cols>
  <sheetData>
    <row r="1" ht="44" customHeight="1">
      <c r="A1" s="1" t="inlineStr">
        <is>
          <t>🎓  第2弾：初成約〜1ヶ月  トレーニングシート</t>
        </is>
      </c>
    </row>
    <row r="2" ht="26" customHeight="1">
      <c r="A2" s="13" t="inlineStr">
        <is>
          <t>👤  メンバー名</t>
        </is>
      </c>
      <c r="B2" s="14" t="inlineStr">
        <is>
          <t>メンバー2</t>
        </is>
      </c>
      <c r="C2" s="13" t="inlineStr">
        <is>
          <t>📅  開始日</t>
        </is>
      </c>
      <c r="D2" s="15" t="n"/>
      <c r="E2" s="13" t="inlineStr">
        <is>
          <t>📊  全体進捗</t>
        </is>
      </c>
      <c r="F2" s="16">
        <f>AVERAGE(F8:F12,F16:F26,F30:F34,F38:F45,F49)</f>
        <v/>
      </c>
      <c r="G2" s="13" t="inlineStr">
        <is>
          <t>⏱  経過日数</t>
        </is>
      </c>
      <c r="H2" s="17">
        <f>IF(D2="","",TODAY()-D2)</f>
        <v/>
      </c>
      <c r="I2" s="13" t="inlineStr">
        <is>
          <t>日</t>
        </is>
      </c>
    </row>
    <row r="3" ht="22" customHeight="1">
      <c r="A3" s="18">
        <f>REPT("█",INT(F2*30))&amp;REPT("░",30-INT(F2*30))&amp;"  "&amp;TEXT(F2,"0%")&amp;" 完了"</f>
        <v/>
      </c>
    </row>
    <row r="4" ht="6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</row>
    <row r="5" ht="26" customHeight="1">
      <c r="A5" s="20" t="inlineStr">
        <is>
          <t>✔</t>
        </is>
      </c>
      <c r="B5" s="20" t="inlineStr">
        <is>
          <t>トレーニング項目</t>
        </is>
      </c>
      <c r="C5" s="20" t="inlineStr">
        <is>
          <t>目標日</t>
        </is>
      </c>
      <c r="D5" s="20" t="inlineStr">
        <is>
          <t>RP目標</t>
        </is>
      </c>
      <c r="E5" s="20" t="inlineStr">
        <is>
          <t>RP実績</t>
        </is>
      </c>
      <c r="F5" s="20" t="inlineStr">
        <is>
          <t>達成率</t>
        </is>
      </c>
      <c r="G5" s="20" t="inlineStr">
        <is>
          <t>ステータス</t>
        </is>
      </c>
      <c r="H5" s="20" t="inlineStr">
        <is>
          <t>進捗バー</t>
        </is>
      </c>
      <c r="I5" s="20" t="inlineStr">
        <is>
          <t>メモ</t>
        </is>
      </c>
    </row>
    <row r="6" ht="30" customHeight="1">
      <c r="A6" s="21" t="inlineStr">
        <is>
          <t>🎯  アポの解像度を上げるトレーニング</t>
        </is>
      </c>
    </row>
    <row r="7" ht="18" customHeight="1">
      <c r="A7" s="22" t="n"/>
      <c r="B7" s="23" t="inlineStr">
        <is>
          <t xml:space="preserve">　項目名</t>
        </is>
      </c>
      <c r="C7" s="24" t="inlineStr">
        <is>
          <t>目標日</t>
        </is>
      </c>
      <c r="D7" s="24" t="inlineStr">
        <is>
          <t>RP目標</t>
        </is>
      </c>
      <c r="E7" s="24" t="inlineStr">
        <is>
          <t>RP実績</t>
        </is>
      </c>
      <c r="F7" s="24" t="inlineStr">
        <is>
          <t>達成率</t>
        </is>
      </c>
      <c r="G7" s="24" t="inlineStr">
        <is>
          <t>ステータス</t>
        </is>
      </c>
      <c r="H7" s="24" t="inlineStr">
        <is>
          <t>進捗バー</t>
        </is>
      </c>
      <c r="I7" s="24" t="inlineStr">
        <is>
          <t>メモ</t>
        </is>
      </c>
    </row>
    <row r="8" ht="22" customHeight="1">
      <c r="A8" s="25" t="inlineStr">
        <is>
          <t>□</t>
        </is>
      </c>
      <c r="B8" s="26" t="inlineStr">
        <is>
          <t>アイスブレイク</t>
        </is>
      </c>
      <c r="C8" s="27" t="n"/>
      <c r="D8" s="28" t="n">
        <v>5</v>
      </c>
      <c r="E8" s="29" t="n">
        <v>0</v>
      </c>
      <c r="F8" s="30">
        <f>IF(D8=0,0,MIN(E8/D8,1))</f>
        <v/>
      </c>
      <c r="G8" s="31">
        <f>IF(AND(E8&gt;=D8,D8&gt;0),"✅ 合格",IF(E8&gt;0,"🔄 練習中",IF(AND(C8&lt;&gt;"",C8&lt;TODAY()),"🔴 遅れ","⬜ 未着手")))</f>
        <v/>
      </c>
      <c r="H8" s="32">
        <f>REPT("█",INT(F8*10))&amp;REPT("░",10-INT(F8*10))&amp;" "&amp;TEXT(F8,"0%")</f>
        <v/>
      </c>
      <c r="I8" s="33" t="n"/>
    </row>
    <row r="9" ht="22" customHeight="1">
      <c r="A9" s="34" t="inlineStr">
        <is>
          <t>□</t>
        </is>
      </c>
      <c r="B9" s="35" t="inlineStr">
        <is>
          <t>ヒアリング</t>
        </is>
      </c>
      <c r="C9" s="27" t="n"/>
      <c r="D9" s="36" t="n">
        <v>5</v>
      </c>
      <c r="E9" s="29" t="n">
        <v>0</v>
      </c>
      <c r="F9" s="37">
        <f>IF(D9=0,0,MIN(E9/D9,1))</f>
        <v/>
      </c>
      <c r="G9" s="38">
        <f>IF(AND(E9&gt;=D9,D9&gt;0),"✅ 合格",IF(E9&gt;0,"🔄 練習中",IF(AND(C9&lt;&gt;"",C9&lt;TODAY()),"🔴 遅れ","⬜ 未着手")))</f>
        <v/>
      </c>
      <c r="H9" s="39">
        <f>REPT("█",INT(F9*10))&amp;REPT("░",10-INT(F9*10))&amp;" "&amp;TEXT(F9,"0%")</f>
        <v/>
      </c>
      <c r="I9" s="33" t="n"/>
    </row>
    <row r="10" ht="22" customHeight="1">
      <c r="A10" s="25" t="inlineStr">
        <is>
          <t>□</t>
        </is>
      </c>
      <c r="B10" s="26" t="inlineStr">
        <is>
          <t>ストーリー</t>
        </is>
      </c>
      <c r="C10" s="27" t="n"/>
      <c r="D10" s="28" t="n">
        <v>5</v>
      </c>
      <c r="E10" s="29" t="n">
        <v>0</v>
      </c>
      <c r="F10" s="30">
        <f>IF(D10=0,0,MIN(E10/D10,1))</f>
        <v/>
      </c>
      <c r="G10" s="31">
        <f>IF(AND(E10&gt;=D10,D10&gt;0),"✅ 合格",IF(E10&gt;0,"🔄 練習中",IF(AND(C10&lt;&gt;"",C10&lt;TODAY()),"🔴 遅れ","⬜ 未着手")))</f>
        <v/>
      </c>
      <c r="H10" s="32">
        <f>REPT("█",INT(F10*10))&amp;REPT("░",10-INT(F10*10))&amp;" "&amp;TEXT(F10,"0%")</f>
        <v/>
      </c>
      <c r="I10" s="33" t="n"/>
    </row>
    <row r="11" ht="22" customHeight="1">
      <c r="A11" s="34" t="inlineStr">
        <is>
          <t>□</t>
        </is>
      </c>
      <c r="B11" s="35" t="inlineStr">
        <is>
          <t>提案資料</t>
        </is>
      </c>
      <c r="C11" s="27" t="n"/>
      <c r="D11" s="36" t="n">
        <v>3</v>
      </c>
      <c r="E11" s="29" t="n">
        <v>0</v>
      </c>
      <c r="F11" s="37">
        <f>IF(D11=0,0,MIN(E11/D11,1))</f>
        <v/>
      </c>
      <c r="G11" s="38">
        <f>IF(AND(E11&gt;=D11,D11&gt;0),"✅ 合格",IF(E11&gt;0,"🔄 練習中",IF(AND(C11&lt;&gt;"",C11&lt;TODAY()),"🔴 遅れ","⬜ 未着手")))</f>
        <v/>
      </c>
      <c r="H11" s="39">
        <f>REPT("█",INT(F11*10))&amp;REPT("░",10-INT(F11*10))&amp;" "&amp;TEXT(F11,"0%")</f>
        <v/>
      </c>
      <c r="I11" s="33" t="n"/>
    </row>
    <row r="12" ht="22" customHeight="1">
      <c r="A12" s="25" t="inlineStr">
        <is>
          <t>□</t>
        </is>
      </c>
      <c r="B12" s="26" t="inlineStr">
        <is>
          <t>ブリッジ</t>
        </is>
      </c>
      <c r="C12" s="27" t="n"/>
      <c r="D12" s="28" t="n">
        <v>5</v>
      </c>
      <c r="E12" s="29" t="n">
        <v>0</v>
      </c>
      <c r="F12" s="30">
        <f>IF(D12=0,0,MIN(E12/D12,1))</f>
        <v/>
      </c>
      <c r="G12" s="31">
        <f>IF(AND(E12&gt;=D12,D12&gt;0),"✅ 合格",IF(E12&gt;0,"🔄 練習中",IF(AND(C12&lt;&gt;"",C12&lt;TODAY()),"🔴 遅れ","⬜ 未着手")))</f>
        <v/>
      </c>
      <c r="H12" s="32">
        <f>REPT("█",INT(F12*10))&amp;REPT("░",10-INT(F12*10))&amp;" "&amp;TEXT(F12,"0%")</f>
        <v/>
      </c>
      <c r="I12" s="33" t="n"/>
    </row>
    <row r="13" ht="8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30" customHeight="1">
      <c r="A14" s="40" t="inlineStr">
        <is>
          <t>🎤  プレの解像度を上げるトレーニング</t>
        </is>
      </c>
    </row>
    <row r="15" ht="18" customHeight="1">
      <c r="A15" s="41" t="n"/>
      <c r="B15" s="42" t="inlineStr">
        <is>
          <t xml:space="preserve">　項目名</t>
        </is>
      </c>
      <c r="C15" s="43" t="inlineStr">
        <is>
          <t>目標日</t>
        </is>
      </c>
      <c r="D15" s="43" t="inlineStr">
        <is>
          <t>RP目標</t>
        </is>
      </c>
      <c r="E15" s="43" t="inlineStr">
        <is>
          <t>RP実績</t>
        </is>
      </c>
      <c r="F15" s="43" t="inlineStr">
        <is>
          <t>達成率</t>
        </is>
      </c>
      <c r="G15" s="43" t="inlineStr">
        <is>
          <t>ステータス</t>
        </is>
      </c>
      <c r="H15" s="43" t="inlineStr">
        <is>
          <t>進捗バー</t>
        </is>
      </c>
      <c r="I15" s="43" t="inlineStr">
        <is>
          <t>メモ</t>
        </is>
      </c>
    </row>
    <row r="16" ht="22" customHeight="1">
      <c r="A16" s="25" t="inlineStr">
        <is>
          <t>□</t>
        </is>
      </c>
      <c r="B16" s="26" t="inlineStr">
        <is>
          <t>再アイスブレイク</t>
        </is>
      </c>
      <c r="C16" s="27" t="n"/>
      <c r="D16" s="28" t="n">
        <v>5</v>
      </c>
      <c r="E16" s="29" t="n">
        <v>0</v>
      </c>
      <c r="F16" s="30">
        <f>IF(D16=0,0,MIN(E16/D16,1))</f>
        <v/>
      </c>
      <c r="G16" s="31">
        <f>IF(AND(E16&gt;=D16,D16&gt;0),"✅ 合格",IF(E16&gt;0,"🔄 練習中",IF(AND(C16&lt;&gt;"",C16&lt;TODAY()),"🔴 遅れ","⬜ 未着手")))</f>
        <v/>
      </c>
      <c r="H16" s="32">
        <f>REPT("█",INT(F16*10))&amp;REPT("░",10-INT(F16*10))&amp;" "&amp;TEXT(F16,"0%")</f>
        <v/>
      </c>
      <c r="I16" s="33" t="n"/>
    </row>
    <row r="17" ht="22" customHeight="1">
      <c r="A17" s="44" t="inlineStr">
        <is>
          <t>□</t>
        </is>
      </c>
      <c r="B17" s="45" t="inlineStr">
        <is>
          <t>再ヒアリング</t>
        </is>
      </c>
      <c r="C17" s="27" t="n"/>
      <c r="D17" s="46" t="n">
        <v>5</v>
      </c>
      <c r="E17" s="29" t="n">
        <v>0</v>
      </c>
      <c r="F17" s="47">
        <f>IF(D17=0,0,MIN(E17/D17,1))</f>
        <v/>
      </c>
      <c r="G17" s="48">
        <f>IF(AND(E17&gt;=D17,D17&gt;0),"✅ 合格",IF(E17&gt;0,"🔄 練習中",IF(AND(C17&lt;&gt;"",C17&lt;TODAY()),"🔴 遅れ","⬜ 未着手")))</f>
        <v/>
      </c>
      <c r="H17" s="49">
        <f>REPT("█",INT(F17*10))&amp;REPT("░",10-INT(F17*10))&amp;" "&amp;TEXT(F17,"0%")</f>
        <v/>
      </c>
      <c r="I17" s="33" t="n"/>
    </row>
    <row r="18" ht="22" customHeight="1">
      <c r="A18" s="25" t="inlineStr">
        <is>
          <t>□</t>
        </is>
      </c>
      <c r="B18" s="26" t="inlineStr">
        <is>
          <t>前回の振り返り</t>
        </is>
      </c>
      <c r="C18" s="27" t="n"/>
      <c r="D18" s="28" t="n">
        <v>3</v>
      </c>
      <c r="E18" s="29" t="n">
        <v>0</v>
      </c>
      <c r="F18" s="30">
        <f>IF(D18=0,0,MIN(E18/D18,1))</f>
        <v/>
      </c>
      <c r="G18" s="31">
        <f>IF(AND(E18&gt;=D18,D18&gt;0),"✅ 合格",IF(E18&gt;0,"🔄 練習中",IF(AND(C18&lt;&gt;"",C18&lt;TODAY()),"🔴 遅れ","⬜ 未着手")))</f>
        <v/>
      </c>
      <c r="H18" s="32">
        <f>REPT("█",INT(F18*10))&amp;REPT("░",10-INT(F18*10))&amp;" "&amp;TEXT(F18,"0%")</f>
        <v/>
      </c>
      <c r="I18" s="33" t="n"/>
    </row>
    <row r="19" ht="22" customHeight="1">
      <c r="A19" s="44" t="inlineStr">
        <is>
          <t>□</t>
        </is>
      </c>
      <c r="B19" s="45" t="inlineStr">
        <is>
          <t>不安ヒアリング・検討潰し</t>
        </is>
      </c>
      <c r="C19" s="27" t="n"/>
      <c r="D19" s="46" t="n">
        <v>8</v>
      </c>
      <c r="E19" s="29" t="n">
        <v>0</v>
      </c>
      <c r="F19" s="47">
        <f>IF(D19=0,0,MIN(E19/D19,1))</f>
        <v/>
      </c>
      <c r="G19" s="48">
        <f>IF(AND(E19&gt;=D19,D19&gt;0),"✅ 合格",IF(E19&gt;0,"🔄 練習中",IF(AND(C19&lt;&gt;"",C19&lt;TODAY()),"🔴 遅れ","⬜ 未着手")))</f>
        <v/>
      </c>
      <c r="H19" s="49">
        <f>REPT("█",INT(F19*10))&amp;REPT("░",10-INT(F19*10))&amp;" "&amp;TEXT(F19,"0%")</f>
        <v/>
      </c>
      <c r="I19" s="33" t="n"/>
    </row>
    <row r="20" ht="22" customHeight="1">
      <c r="A20" s="25" t="inlineStr">
        <is>
          <t>□</t>
        </is>
      </c>
      <c r="B20" s="26" t="inlineStr">
        <is>
          <t>サポート説明</t>
        </is>
      </c>
      <c r="C20" s="27" t="n"/>
      <c r="D20" s="28" t="n">
        <v>5</v>
      </c>
      <c r="E20" s="29" t="n">
        <v>0</v>
      </c>
      <c r="F20" s="30">
        <f>IF(D20=0,0,MIN(E20/D20,1))</f>
        <v/>
      </c>
      <c r="G20" s="31">
        <f>IF(AND(E20&gt;=D20,D20&gt;0),"✅ 合格",IF(E20&gt;0,"🔄 練習中",IF(AND(C20&lt;&gt;"",C20&lt;TODAY()),"🔴 遅れ","⬜ 未着手")))</f>
        <v/>
      </c>
      <c r="H20" s="32">
        <f>REPT("█",INT(F20*10))&amp;REPT("░",10-INT(F20*10))&amp;" "&amp;TEXT(F20,"0%")</f>
        <v/>
      </c>
      <c r="I20" s="33" t="n"/>
    </row>
    <row r="21" ht="22" customHeight="1">
      <c r="A21" s="44" t="inlineStr">
        <is>
          <t>□</t>
        </is>
      </c>
      <c r="B21" s="45" t="inlineStr">
        <is>
          <t>卒業生の話</t>
        </is>
      </c>
      <c r="C21" s="27" t="n"/>
      <c r="D21" s="46" t="n">
        <v>5</v>
      </c>
      <c r="E21" s="29" t="n">
        <v>0</v>
      </c>
      <c r="F21" s="47">
        <f>IF(D21=0,0,MIN(E21/D21,1))</f>
        <v/>
      </c>
      <c r="G21" s="48">
        <f>IF(AND(E21&gt;=D21,D21&gt;0),"✅ 合格",IF(E21&gt;0,"🔄 練習中",IF(AND(C21&lt;&gt;"",C21&lt;TODAY()),"🔴 遅れ","⬜ 未着手")))</f>
        <v/>
      </c>
      <c r="H21" s="49">
        <f>REPT("█",INT(F21*10))&amp;REPT("░",10-INT(F21*10))&amp;" "&amp;TEXT(F21,"0%")</f>
        <v/>
      </c>
      <c r="I21" s="33" t="n"/>
    </row>
    <row r="22" ht="22" customHeight="1">
      <c r="A22" s="25" t="inlineStr">
        <is>
          <t>□</t>
        </is>
      </c>
      <c r="B22" s="26" t="inlineStr">
        <is>
          <t>アンカリング</t>
        </is>
      </c>
      <c r="C22" s="27" t="n"/>
      <c r="D22" s="28" t="n">
        <v>5</v>
      </c>
      <c r="E22" s="29" t="n">
        <v>0</v>
      </c>
      <c r="F22" s="30">
        <f>IF(D22=0,0,MIN(E22/D22,1))</f>
        <v/>
      </c>
      <c r="G22" s="31">
        <f>IF(AND(E22&gt;=D22,D22&gt;0),"✅ 合格",IF(E22&gt;0,"🔄 練習中",IF(AND(C22&lt;&gt;"",C22&lt;TODAY()),"🔴 遅れ","⬜ 未着手")))</f>
        <v/>
      </c>
      <c r="H22" s="32">
        <f>REPT("█",INT(F22*10))&amp;REPT("░",10-INT(F22*10))&amp;" "&amp;TEXT(F22,"0%")</f>
        <v/>
      </c>
      <c r="I22" s="33" t="n"/>
    </row>
    <row r="23" ht="22" customHeight="1">
      <c r="A23" s="44" t="inlineStr">
        <is>
          <t>□</t>
        </is>
      </c>
      <c r="B23" s="45" t="inlineStr">
        <is>
          <t>金額オファー</t>
        </is>
      </c>
      <c r="C23" s="27" t="n"/>
      <c r="D23" s="46" t="n">
        <v>8</v>
      </c>
      <c r="E23" s="29" t="n">
        <v>0</v>
      </c>
      <c r="F23" s="47">
        <f>IF(D23=0,0,MIN(E23/D23,1))</f>
        <v/>
      </c>
      <c r="G23" s="48">
        <f>IF(AND(E23&gt;=D23,D23&gt;0),"✅ 合格",IF(E23&gt;0,"🔄 練習中",IF(AND(C23&lt;&gt;"",C23&lt;TODAY()),"🔴 遅れ","⬜ 未着手")))</f>
        <v/>
      </c>
      <c r="H23" s="49">
        <f>REPT("█",INT(F23*10))&amp;REPT("░",10-INT(F23*10))&amp;" "&amp;TEXT(F23,"0%")</f>
        <v/>
      </c>
      <c r="I23" s="33" t="n"/>
    </row>
    <row r="24" ht="22" customHeight="1">
      <c r="A24" s="25" t="inlineStr">
        <is>
          <t>□</t>
        </is>
      </c>
      <c r="B24" s="26" t="inlineStr">
        <is>
          <t>言質後トーク</t>
        </is>
      </c>
      <c r="C24" s="27" t="n"/>
      <c r="D24" s="28" t="n">
        <v>5</v>
      </c>
      <c r="E24" s="29" t="n">
        <v>0</v>
      </c>
      <c r="F24" s="30">
        <f>IF(D24=0,0,MIN(E24/D24,1))</f>
        <v/>
      </c>
      <c r="G24" s="31">
        <f>IF(AND(E24&gt;=D24,D24&gt;0),"✅ 合格",IF(E24&gt;0,"🔄 練習中",IF(AND(C24&lt;&gt;"",C24&lt;TODAY()),"🔴 遅れ","⬜ 未着手")))</f>
        <v/>
      </c>
      <c r="H24" s="32">
        <f>REPT("█",INT(F24*10))&amp;REPT("░",10-INT(F24*10))&amp;" "&amp;TEXT(F24,"0%")</f>
        <v/>
      </c>
      <c r="I24" s="33" t="n"/>
    </row>
    <row r="25" ht="22" customHeight="1">
      <c r="A25" s="44" t="inlineStr">
        <is>
          <t>□</t>
        </is>
      </c>
      <c r="B25" s="45" t="inlineStr">
        <is>
          <t>切り返し</t>
        </is>
      </c>
      <c r="C25" s="27" t="n"/>
      <c r="D25" s="46" t="n">
        <v>10</v>
      </c>
      <c r="E25" s="29" t="n">
        <v>0</v>
      </c>
      <c r="F25" s="47">
        <f>IF(D25=0,0,MIN(E25/D25,1))</f>
        <v/>
      </c>
      <c r="G25" s="48">
        <f>IF(AND(E25&gt;=D25,D25&gt;0),"✅ 合格",IF(E25&gt;0,"🔄 練習中",IF(AND(C25&lt;&gt;"",C25&lt;TODAY()),"🔴 遅れ","⬜ 未着手")))</f>
        <v/>
      </c>
      <c r="H25" s="49">
        <f>REPT("█",INT(F25*10))&amp;REPT("░",10-INT(F25*10))&amp;" "&amp;TEXT(F25,"0%")</f>
        <v/>
      </c>
      <c r="I25" s="33" t="n"/>
    </row>
    <row r="26" ht="22" customHeight="1">
      <c r="A26" s="25" t="inlineStr">
        <is>
          <t>□</t>
        </is>
      </c>
      <c r="B26" s="26" t="inlineStr">
        <is>
          <t>ボイチェン提案</t>
        </is>
      </c>
      <c r="C26" s="27" t="n"/>
      <c r="D26" s="28" t="n">
        <v>5</v>
      </c>
      <c r="E26" s="29" t="n">
        <v>0</v>
      </c>
      <c r="F26" s="30">
        <f>IF(D26=0,0,MIN(E26/D26,1))</f>
        <v/>
      </c>
      <c r="G26" s="31">
        <f>IF(AND(E26&gt;=D26,D26&gt;0),"✅ 合格",IF(E26&gt;0,"🔄 練習中",IF(AND(C26&lt;&gt;"",C26&lt;TODAY()),"🔴 遅れ","⬜ 未着手")))</f>
        <v/>
      </c>
      <c r="H26" s="32">
        <f>REPT("█",INT(F26*10))&amp;REPT("░",10-INT(F26*10))&amp;" "&amp;TEXT(F26,"0%")</f>
        <v/>
      </c>
      <c r="I26" s="33" t="n"/>
    </row>
    <row r="27" ht="8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30" customHeight="1">
      <c r="A28" s="50" t="inlineStr">
        <is>
          <t>💬  渋りトーク</t>
        </is>
      </c>
    </row>
    <row r="29" ht="18" customHeight="1">
      <c r="A29" s="51" t="n"/>
      <c r="B29" s="52" t="inlineStr">
        <is>
          <t xml:space="preserve">　項目名</t>
        </is>
      </c>
      <c r="C29" s="53" t="inlineStr">
        <is>
          <t>目標日</t>
        </is>
      </c>
      <c r="D29" s="53" t="inlineStr">
        <is>
          <t>RP目標</t>
        </is>
      </c>
      <c r="E29" s="53" t="inlineStr">
        <is>
          <t>RP実績</t>
        </is>
      </c>
      <c r="F29" s="53" t="inlineStr">
        <is>
          <t>達成率</t>
        </is>
      </c>
      <c r="G29" s="53" t="inlineStr">
        <is>
          <t>ステータス</t>
        </is>
      </c>
      <c r="H29" s="53" t="inlineStr">
        <is>
          <t>進捗バー</t>
        </is>
      </c>
      <c r="I29" s="53" t="inlineStr">
        <is>
          <t>メモ</t>
        </is>
      </c>
    </row>
    <row r="30" ht="22" customHeight="1">
      <c r="A30" s="25" t="inlineStr">
        <is>
          <t>□</t>
        </is>
      </c>
      <c r="B30" s="26" t="inlineStr">
        <is>
          <t>金額渋りトーク</t>
        </is>
      </c>
      <c r="C30" s="27" t="n"/>
      <c r="D30" s="28" t="n">
        <v>8</v>
      </c>
      <c r="E30" s="29" t="n">
        <v>0</v>
      </c>
      <c r="F30" s="30">
        <f>IF(D30=0,0,MIN(E30/D30,1))</f>
        <v/>
      </c>
      <c r="G30" s="31">
        <f>IF(AND(E30&gt;=D30,D30&gt;0),"✅ 合格",IF(E30&gt;0,"🔄 練習中",IF(AND(C30&lt;&gt;"",C30&lt;TODAY()),"🔴 遅れ","⬜ 未着手")))</f>
        <v/>
      </c>
      <c r="H30" s="32">
        <f>REPT("█",INT(F30*10))&amp;REPT("░",10-INT(F30*10))&amp;" "&amp;TEXT(F30,"0%")</f>
        <v/>
      </c>
      <c r="I30" s="33" t="n"/>
    </row>
    <row r="31" ht="22" customHeight="1">
      <c r="A31" s="54" t="inlineStr">
        <is>
          <t>□</t>
        </is>
      </c>
      <c r="B31" s="55" t="inlineStr">
        <is>
          <t>相談渋りのトーク</t>
        </is>
      </c>
      <c r="C31" s="27" t="n"/>
      <c r="D31" s="56" t="n">
        <v>8</v>
      </c>
      <c r="E31" s="29" t="n">
        <v>0</v>
      </c>
      <c r="F31" s="57">
        <f>IF(D31=0,0,MIN(E31/D31,1))</f>
        <v/>
      </c>
      <c r="G31" s="58">
        <f>IF(AND(E31&gt;=D31,D31&gt;0),"✅ 合格",IF(E31&gt;0,"🔄 練習中",IF(AND(C31&lt;&gt;"",C31&lt;TODAY()),"🔴 遅れ","⬜ 未着手")))</f>
        <v/>
      </c>
      <c r="H31" s="59">
        <f>REPT("█",INT(F31*10))&amp;REPT("░",10-INT(F31*10))&amp;" "&amp;TEXT(F31,"0%")</f>
        <v/>
      </c>
      <c r="I31" s="33" t="n"/>
    </row>
    <row r="32" ht="22" customHeight="1">
      <c r="A32" s="25" t="inlineStr">
        <is>
          <t>□</t>
        </is>
      </c>
      <c r="B32" s="26" t="inlineStr">
        <is>
          <t>他社比較渋りトーク</t>
        </is>
      </c>
      <c r="C32" s="27" t="n"/>
      <c r="D32" s="28" t="n">
        <v>5</v>
      </c>
      <c r="E32" s="29" t="n">
        <v>0</v>
      </c>
      <c r="F32" s="30">
        <f>IF(D32=0,0,MIN(E32/D32,1))</f>
        <v/>
      </c>
      <c r="G32" s="31">
        <f>IF(AND(E32&gt;=D32,D32&gt;0),"✅ 合格",IF(E32&gt;0,"🔄 練習中",IF(AND(C32&lt;&gt;"",C32&lt;TODAY()),"🔴 遅れ","⬜ 未着手")))</f>
        <v/>
      </c>
      <c r="H32" s="32">
        <f>REPT("█",INT(F32*10))&amp;REPT("░",10-INT(F32*10))&amp;" "&amp;TEXT(F32,"0%")</f>
        <v/>
      </c>
      <c r="I32" s="33" t="n"/>
    </row>
    <row r="33" ht="22" customHeight="1">
      <c r="A33" s="54" t="inlineStr">
        <is>
          <t>□</t>
        </is>
      </c>
      <c r="B33" s="55" t="inlineStr">
        <is>
          <t>自信ない渋りトーク</t>
        </is>
      </c>
      <c r="C33" s="27" t="n"/>
      <c r="D33" s="56" t="n">
        <v>5</v>
      </c>
      <c r="E33" s="29" t="n">
        <v>0</v>
      </c>
      <c r="F33" s="57">
        <f>IF(D33=0,0,MIN(E33/D33,1))</f>
        <v/>
      </c>
      <c r="G33" s="58">
        <f>IF(AND(E33&gt;=D33,D33&gt;0),"✅ 合格",IF(E33&gt;0,"🔄 練習中",IF(AND(C33&lt;&gt;"",C33&lt;TODAY()),"🔴 遅れ","⬜ 未着手")))</f>
        <v/>
      </c>
      <c r="H33" s="59">
        <f>REPT("█",INT(F33*10))&amp;REPT("░",10-INT(F33*10))&amp;" "&amp;TEXT(F33,"0%")</f>
        <v/>
      </c>
      <c r="I33" s="33" t="n"/>
    </row>
    <row r="34" ht="22" customHeight="1">
      <c r="A34" s="25" t="inlineStr">
        <is>
          <t>□</t>
        </is>
      </c>
      <c r="B34" s="26" t="inlineStr">
        <is>
          <t>今じゃない渋りトーク</t>
        </is>
      </c>
      <c r="C34" s="27" t="n"/>
      <c r="D34" s="28" t="n">
        <v>5</v>
      </c>
      <c r="E34" s="29" t="n">
        <v>0</v>
      </c>
      <c r="F34" s="30">
        <f>IF(D34=0,0,MIN(E34/D34,1))</f>
        <v/>
      </c>
      <c r="G34" s="31">
        <f>IF(AND(E34&gt;=D34,D34&gt;0),"✅ 合格",IF(E34&gt;0,"🔄 練習中",IF(AND(C34&lt;&gt;"",C34&lt;TODAY()),"🔴 遅れ","⬜ 未着手")))</f>
        <v/>
      </c>
      <c r="H34" s="32">
        <f>REPT("█",INT(F34*10))&amp;REPT("░",10-INT(F34*10))&amp;" "&amp;TEXT(F34,"0%")</f>
        <v/>
      </c>
      <c r="I34" s="33" t="n"/>
    </row>
    <row r="35" ht="8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30" customHeight="1">
      <c r="A36" s="60" t="inlineStr">
        <is>
          <t>⚡  スキル強化</t>
        </is>
      </c>
    </row>
    <row r="37" ht="18" customHeight="1">
      <c r="A37" s="61" t="n"/>
      <c r="B37" s="62" t="inlineStr">
        <is>
          <t xml:space="preserve">　項目名</t>
        </is>
      </c>
      <c r="C37" s="63" t="inlineStr">
        <is>
          <t>目標日</t>
        </is>
      </c>
      <c r="D37" s="63" t="inlineStr">
        <is>
          <t>RP目標</t>
        </is>
      </c>
      <c r="E37" s="63" t="inlineStr">
        <is>
          <t>RP実績</t>
        </is>
      </c>
      <c r="F37" s="63" t="inlineStr">
        <is>
          <t>達成率</t>
        </is>
      </c>
      <c r="G37" s="63" t="inlineStr">
        <is>
          <t>ステータス</t>
        </is>
      </c>
      <c r="H37" s="63" t="inlineStr">
        <is>
          <t>進捗バー</t>
        </is>
      </c>
      <c r="I37" s="63" t="inlineStr">
        <is>
          <t>メモ</t>
        </is>
      </c>
    </row>
    <row r="38" ht="22" customHeight="1">
      <c r="A38" s="25" t="inlineStr">
        <is>
          <t>□</t>
        </is>
      </c>
      <c r="B38" s="26" t="inlineStr">
        <is>
          <t>アポやプレでの時間配分の徹底</t>
        </is>
      </c>
      <c r="C38" s="27" t="n"/>
      <c r="D38" s="28" t="n">
        <v>3</v>
      </c>
      <c r="E38" s="29" t="n">
        <v>0</v>
      </c>
      <c r="F38" s="30">
        <f>IF(D38=0,0,MIN(E38/D38,1))</f>
        <v/>
      </c>
      <c r="G38" s="31">
        <f>IF(AND(E38&gt;=D38,D38&gt;0),"✅ 合格",IF(E38&gt;0,"🔄 練習中",IF(AND(C38&lt;&gt;"",C38&lt;TODAY()),"🔴 遅れ","⬜ 未着手")))</f>
        <v/>
      </c>
      <c r="H38" s="32">
        <f>REPT("█",INT(F38*10))&amp;REPT("░",10-INT(F38*10))&amp;" "&amp;TEXT(F38,"0%")</f>
        <v/>
      </c>
      <c r="I38" s="33" t="n"/>
    </row>
    <row r="39" ht="22" customHeight="1">
      <c r="A39" s="64" t="inlineStr">
        <is>
          <t>□</t>
        </is>
      </c>
      <c r="B39" s="65" t="inlineStr">
        <is>
          <t>ボイチェン提案</t>
        </is>
      </c>
      <c r="C39" s="27" t="n"/>
      <c r="D39" s="66" t="n">
        <v>3</v>
      </c>
      <c r="E39" s="29" t="n">
        <v>0</v>
      </c>
      <c r="F39" s="67">
        <f>IF(D39=0,0,MIN(E39/D39,1))</f>
        <v/>
      </c>
      <c r="G39" s="68">
        <f>IF(AND(E39&gt;=D39,D39&gt;0),"✅ 合格",IF(E39&gt;0,"🔄 練習中",IF(AND(C39&lt;&gt;"",C39&lt;TODAY()),"🔴 遅れ","⬜ 未着手")))</f>
        <v/>
      </c>
      <c r="H39" s="69">
        <f>REPT("█",INT(F39*10))&amp;REPT("░",10-INT(F39*10))&amp;" "&amp;TEXT(F39,"0%")</f>
        <v/>
      </c>
      <c r="I39" s="33" t="n"/>
    </row>
    <row r="40" ht="22" customHeight="1">
      <c r="A40" s="25" t="inlineStr">
        <is>
          <t>□</t>
        </is>
      </c>
      <c r="B40" s="26" t="inlineStr">
        <is>
          <t>不安ヒアリング</t>
        </is>
      </c>
      <c r="C40" s="27" t="n"/>
      <c r="D40" s="28" t="n">
        <v>5</v>
      </c>
      <c r="E40" s="29" t="n">
        <v>0</v>
      </c>
      <c r="F40" s="30">
        <f>IF(D40=0,0,MIN(E40/D40,1))</f>
        <v/>
      </c>
      <c r="G40" s="31">
        <f>IF(AND(E40&gt;=D40,D40&gt;0),"✅ 合格",IF(E40&gt;0,"🔄 練習中",IF(AND(C40&lt;&gt;"",C40&lt;TODAY()),"🔴 遅れ","⬜ 未着手")))</f>
        <v/>
      </c>
      <c r="H40" s="32">
        <f>REPT("█",INT(F40*10))&amp;REPT("░",10-INT(F40*10))&amp;" "&amp;TEXT(F40,"0%")</f>
        <v/>
      </c>
      <c r="I40" s="33" t="n"/>
    </row>
    <row r="41" ht="22" customHeight="1">
      <c r="A41" s="64" t="inlineStr">
        <is>
          <t>□</t>
        </is>
      </c>
      <c r="B41" s="65" t="inlineStr">
        <is>
          <t>資金繰りの解像度UP（カードの分割・最低限の金融リテラシー）</t>
        </is>
      </c>
      <c r="C41" s="27" t="n"/>
      <c r="D41" s="66" t="n">
        <v>3</v>
      </c>
      <c r="E41" s="29" t="n">
        <v>0</v>
      </c>
      <c r="F41" s="67">
        <f>IF(D41=0,0,MIN(E41/D41,1))</f>
        <v/>
      </c>
      <c r="G41" s="68">
        <f>IF(AND(E41&gt;=D41,D41&gt;0),"✅ 合格",IF(E41&gt;0,"🔄 練習中",IF(AND(C41&lt;&gt;"",C41&lt;TODAY()),"🔴 遅れ","⬜ 未着手")))</f>
        <v/>
      </c>
      <c r="H41" s="69">
        <f>REPT("█",INT(F41*10))&amp;REPT("░",10-INT(F41*10))&amp;" "&amp;TEXT(F41,"0%")</f>
        <v/>
      </c>
      <c r="I41" s="33" t="n"/>
    </row>
    <row r="42" ht="22" customHeight="1">
      <c r="A42" s="25" t="inlineStr">
        <is>
          <t>□</t>
        </is>
      </c>
      <c r="B42" s="26" t="inlineStr">
        <is>
          <t>事実解釈の区別</t>
        </is>
      </c>
      <c r="C42" s="27" t="n"/>
      <c r="D42" s="28" t="n">
        <v>3</v>
      </c>
      <c r="E42" s="29" t="n">
        <v>0</v>
      </c>
      <c r="F42" s="30">
        <f>IF(D42=0,0,MIN(E42/D42,1))</f>
        <v/>
      </c>
      <c r="G42" s="31">
        <f>IF(AND(E42&gt;=D42,D42&gt;0),"✅ 合格",IF(E42&gt;0,"🔄 練習中",IF(AND(C42&lt;&gt;"",C42&lt;TODAY()),"🔴 遅れ","⬜ 未着手")))</f>
        <v/>
      </c>
      <c r="H42" s="32">
        <f>REPT("█",INT(F42*10))&amp;REPT("░",10-INT(F42*10))&amp;" "&amp;TEXT(F42,"0%")</f>
        <v/>
      </c>
      <c r="I42" s="33" t="n"/>
    </row>
    <row r="43" ht="22" customHeight="1">
      <c r="A43" s="64" t="inlineStr">
        <is>
          <t>□</t>
        </is>
      </c>
      <c r="B43" s="65" t="inlineStr">
        <is>
          <t>問題と思わしくないことの区別</t>
        </is>
      </c>
      <c r="C43" s="27" t="n"/>
      <c r="D43" s="66" t="n">
        <v>3</v>
      </c>
      <c r="E43" s="29" t="n">
        <v>0</v>
      </c>
      <c r="F43" s="67">
        <f>IF(D43=0,0,MIN(E43/D43,1))</f>
        <v/>
      </c>
      <c r="G43" s="68">
        <f>IF(AND(E43&gt;=D43,D43&gt;0),"✅ 合格",IF(E43&gt;0,"🔄 練習中",IF(AND(C43&lt;&gt;"",C43&lt;TODAY()),"🔴 遅れ","⬜ 未着手")))</f>
        <v/>
      </c>
      <c r="H43" s="69">
        <f>REPT("█",INT(F43*10))&amp;REPT("░",10-INT(F43*10))&amp;" "&amp;TEXT(F43,"0%")</f>
        <v/>
      </c>
      <c r="I43" s="33" t="n"/>
    </row>
    <row r="44" ht="22" customHeight="1">
      <c r="A44" s="25" t="inlineStr">
        <is>
          <t>□</t>
        </is>
      </c>
      <c r="B44" s="26" t="inlineStr">
        <is>
          <t>方針方法の区別</t>
        </is>
      </c>
      <c r="C44" s="27" t="n"/>
      <c r="D44" s="28" t="n">
        <v>3</v>
      </c>
      <c r="E44" s="29" t="n">
        <v>0</v>
      </c>
      <c r="F44" s="30">
        <f>IF(D44=0,0,MIN(E44/D44,1))</f>
        <v/>
      </c>
      <c r="G44" s="31">
        <f>IF(AND(E44&gt;=D44,D44&gt;0),"✅ 合格",IF(E44&gt;0,"🔄 練習中",IF(AND(C44&lt;&gt;"",C44&lt;TODAY()),"🔴 遅れ","⬜ 未着手")))</f>
        <v/>
      </c>
      <c r="H44" s="32">
        <f>REPT("█",INT(F44*10))&amp;REPT("░",10-INT(F44*10))&amp;" "&amp;TEXT(F44,"0%")</f>
        <v/>
      </c>
      <c r="I44" s="33" t="n"/>
    </row>
    <row r="45" ht="22" customHeight="1">
      <c r="A45" s="64" t="inlineStr">
        <is>
          <t>□</t>
        </is>
      </c>
      <c r="B45" s="65" t="inlineStr">
        <is>
          <t>MSの立て方</t>
        </is>
      </c>
      <c r="C45" s="27" t="n"/>
      <c r="D45" s="66" t="n">
        <v>5</v>
      </c>
      <c r="E45" s="29" t="n">
        <v>0</v>
      </c>
      <c r="F45" s="67">
        <f>IF(D45=0,0,MIN(E45/D45,1))</f>
        <v/>
      </c>
      <c r="G45" s="68">
        <f>IF(AND(E45&gt;=D45,D45&gt;0),"✅ 合格",IF(E45&gt;0,"🔄 練習中",IF(AND(C45&lt;&gt;"",C45&lt;TODAY()),"🔴 遅れ","⬜ 未着手")))</f>
        <v/>
      </c>
      <c r="H45" s="69">
        <f>REPT("█",INT(F45*10))&amp;REPT("░",10-INT(F45*10))&amp;" "&amp;TEXT(F45,"0%")</f>
        <v/>
      </c>
      <c r="I45" s="33" t="n"/>
    </row>
    <row r="46" ht="8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30" customHeight="1">
      <c r="A47" s="70" t="inlineStr">
        <is>
          <t>🧠  マインド編（ウェブフリワークブック）</t>
        </is>
      </c>
    </row>
    <row r="48" ht="18" customHeight="1">
      <c r="A48" s="71" t="n"/>
      <c r="B48" s="72" t="inlineStr">
        <is>
          <t xml:space="preserve">　項目名</t>
        </is>
      </c>
      <c r="C48" s="73" t="inlineStr">
        <is>
          <t>目標日</t>
        </is>
      </c>
      <c r="D48" s="73" t="inlineStr">
        <is>
          <t>RP目標</t>
        </is>
      </c>
      <c r="E48" s="73" t="inlineStr">
        <is>
          <t>RP実績</t>
        </is>
      </c>
      <c r="F48" s="73" t="inlineStr">
        <is>
          <t>達成率</t>
        </is>
      </c>
      <c r="G48" s="73" t="inlineStr">
        <is>
          <t>ステータス</t>
        </is>
      </c>
      <c r="H48" s="73" t="inlineStr">
        <is>
          <t>進捗バー</t>
        </is>
      </c>
      <c r="I48" s="73" t="inlineStr">
        <is>
          <t>メモ</t>
        </is>
      </c>
    </row>
    <row r="49" ht="22" customHeight="1">
      <c r="A49" s="25" t="inlineStr">
        <is>
          <t>□</t>
        </is>
      </c>
      <c r="B49" s="26" t="inlineStr">
        <is>
          <t>ウェブフリワークブック（マインド編）</t>
        </is>
      </c>
      <c r="C49" s="27" t="n"/>
      <c r="D49" s="28" t="n">
        <v>1</v>
      </c>
      <c r="E49" s="29" t="n">
        <v>0</v>
      </c>
      <c r="F49" s="30">
        <f>IF(D49=0,0,MIN(E49/D49,1))</f>
        <v/>
      </c>
      <c r="G49" s="31">
        <f>IF(AND(E49&gt;=D49,D49&gt;0),"✅ 合格",IF(E49&gt;0,"🔄 練習中",IF(AND(C49&lt;&gt;"",C49&lt;TODAY()),"🔴 遅れ","⬜ 未着手")))</f>
        <v/>
      </c>
      <c r="H49" s="32">
        <f>REPT("█",INT(F49*10))&amp;REPT("░",10-INT(F49*10))&amp;" "&amp;TEXT(F49,"0%")</f>
        <v/>
      </c>
      <c r="I49" s="33" t="n"/>
    </row>
    <row r="50" ht="8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</row>
  </sheetData>
  <mergeCells count="7">
    <mergeCell ref="A47:I47"/>
    <mergeCell ref="A28:I28"/>
    <mergeCell ref="A36:I36"/>
    <mergeCell ref="A14:I14"/>
    <mergeCell ref="A1:I1"/>
    <mergeCell ref="A3:I3"/>
    <mergeCell ref="A6:I6"/>
  </mergeCells>
  <conditionalFormatting sqref="G6:G51">
    <cfRule type="expression" priority="1" dxfId="3">
      <formula>ISNUMBER(SEARCH("合格",G6))</formula>
    </cfRule>
    <cfRule type="expression" priority="2" dxfId="1">
      <formula>ISNUMBER(SEARCH("練習中",G6))</formula>
    </cfRule>
    <cfRule type="expression" priority="3" dxfId="2">
      <formula>ISNUMBER(SEARCH("遅れ",G6))</formula>
    </cfRule>
    <cfRule type="expression" priority="4" dxfId="4">
      <formula>ISNUMBER(SEARCH("未着手",G6))</formula>
    </cfRule>
  </conditionalFormatting>
  <conditionalFormatting sqref="A6:I51">
    <cfRule type="expression" priority="5" dxfId="5">
      <formula>$A6="✓"</formula>
    </cfRule>
  </conditionalFormatting>
  <conditionalFormatting sqref="C6:C51">
    <cfRule type="expression" priority="6" dxfId="6">
      <formula>AND(C6&lt;&gt;"",C6&lt;TODAY(),E6&lt;D6)</formula>
    </cfRule>
  </conditionalFormatting>
  <dataValidations count="1">
    <dataValidation sqref="A8 A9 A10 A11 A12 A16 A17 A18 A19 A20 A21 A22 A23 A24 A25 A26 A30 A31 A32 A33 A34 A38 A39 A40 A41 A42 A43 A44 A45 A49" showDropDown="0" showInputMessage="0" showErrorMessage="0" allowBlank="0" type="list">
      <formula1>"□,✓"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3" customWidth="1" min="3" max="3"/>
    <col width="11" customWidth="1" min="4" max="4"/>
    <col width="11" customWidth="1" min="5" max="5"/>
    <col width="10" customWidth="1" min="6" max="6"/>
    <col width="14" customWidth="1" min="7" max="7"/>
    <col width="24" customWidth="1" min="8" max="8"/>
    <col width="28" customWidth="1" min="9" max="9"/>
  </cols>
  <sheetData>
    <row r="1" ht="44" customHeight="1">
      <c r="A1" s="1" t="inlineStr">
        <is>
          <t>🎓  第2弾：初成約〜1ヶ月  トレーニングシート</t>
        </is>
      </c>
    </row>
    <row r="2" ht="26" customHeight="1">
      <c r="A2" s="13" t="inlineStr">
        <is>
          <t>👤  メンバー名</t>
        </is>
      </c>
      <c r="B2" s="14" t="inlineStr">
        <is>
          <t>メンバー3</t>
        </is>
      </c>
      <c r="C2" s="13" t="inlineStr">
        <is>
          <t>📅  開始日</t>
        </is>
      </c>
      <c r="D2" s="15" t="n"/>
      <c r="E2" s="13" t="inlineStr">
        <is>
          <t>📊  全体進捗</t>
        </is>
      </c>
      <c r="F2" s="16">
        <f>AVERAGE(F8:F12,F16:F26,F30:F34,F38:F45,F49)</f>
        <v/>
      </c>
      <c r="G2" s="13" t="inlineStr">
        <is>
          <t>⏱  経過日数</t>
        </is>
      </c>
      <c r="H2" s="17">
        <f>IF(D2="","",TODAY()-D2)</f>
        <v/>
      </c>
      <c r="I2" s="13" t="inlineStr">
        <is>
          <t>日</t>
        </is>
      </c>
    </row>
    <row r="3" ht="22" customHeight="1">
      <c r="A3" s="18">
        <f>REPT("█",INT(F2*30))&amp;REPT("░",30-INT(F2*30))&amp;"  "&amp;TEXT(F2,"0%")&amp;" 完了"</f>
        <v/>
      </c>
    </row>
    <row r="4" ht="6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</row>
    <row r="5" ht="26" customHeight="1">
      <c r="A5" s="20" t="inlineStr">
        <is>
          <t>✔</t>
        </is>
      </c>
      <c r="B5" s="20" t="inlineStr">
        <is>
          <t>トレーニング項目</t>
        </is>
      </c>
      <c r="C5" s="20" t="inlineStr">
        <is>
          <t>目標日</t>
        </is>
      </c>
      <c r="D5" s="20" t="inlineStr">
        <is>
          <t>RP目標</t>
        </is>
      </c>
      <c r="E5" s="20" t="inlineStr">
        <is>
          <t>RP実績</t>
        </is>
      </c>
      <c r="F5" s="20" t="inlineStr">
        <is>
          <t>達成率</t>
        </is>
      </c>
      <c r="G5" s="20" t="inlineStr">
        <is>
          <t>ステータス</t>
        </is>
      </c>
      <c r="H5" s="20" t="inlineStr">
        <is>
          <t>進捗バー</t>
        </is>
      </c>
      <c r="I5" s="20" t="inlineStr">
        <is>
          <t>メモ</t>
        </is>
      </c>
    </row>
    <row r="6" ht="30" customHeight="1">
      <c r="A6" s="21" t="inlineStr">
        <is>
          <t>🎯  アポの解像度を上げるトレーニング</t>
        </is>
      </c>
    </row>
    <row r="7" ht="18" customHeight="1">
      <c r="A7" s="22" t="n"/>
      <c r="B7" s="23" t="inlineStr">
        <is>
          <t xml:space="preserve">　項目名</t>
        </is>
      </c>
      <c r="C7" s="24" t="inlineStr">
        <is>
          <t>目標日</t>
        </is>
      </c>
      <c r="D7" s="24" t="inlineStr">
        <is>
          <t>RP目標</t>
        </is>
      </c>
      <c r="E7" s="24" t="inlineStr">
        <is>
          <t>RP実績</t>
        </is>
      </c>
      <c r="F7" s="24" t="inlineStr">
        <is>
          <t>達成率</t>
        </is>
      </c>
      <c r="G7" s="24" t="inlineStr">
        <is>
          <t>ステータス</t>
        </is>
      </c>
      <c r="H7" s="24" t="inlineStr">
        <is>
          <t>進捗バー</t>
        </is>
      </c>
      <c r="I7" s="24" t="inlineStr">
        <is>
          <t>メモ</t>
        </is>
      </c>
    </row>
    <row r="8" ht="22" customHeight="1">
      <c r="A8" s="25" t="inlineStr">
        <is>
          <t>□</t>
        </is>
      </c>
      <c r="B8" s="26" t="inlineStr">
        <is>
          <t>アイスブレイク</t>
        </is>
      </c>
      <c r="C8" s="27" t="n"/>
      <c r="D8" s="28" t="n">
        <v>5</v>
      </c>
      <c r="E8" s="29" t="n">
        <v>0</v>
      </c>
      <c r="F8" s="30">
        <f>IF(D8=0,0,MIN(E8/D8,1))</f>
        <v/>
      </c>
      <c r="G8" s="31">
        <f>IF(AND(E8&gt;=D8,D8&gt;0),"✅ 合格",IF(E8&gt;0,"🔄 練習中",IF(AND(C8&lt;&gt;"",C8&lt;TODAY()),"🔴 遅れ","⬜ 未着手")))</f>
        <v/>
      </c>
      <c r="H8" s="32">
        <f>REPT("█",INT(F8*10))&amp;REPT("░",10-INT(F8*10))&amp;" "&amp;TEXT(F8,"0%")</f>
        <v/>
      </c>
      <c r="I8" s="33" t="n"/>
    </row>
    <row r="9" ht="22" customHeight="1">
      <c r="A9" s="34" t="inlineStr">
        <is>
          <t>□</t>
        </is>
      </c>
      <c r="B9" s="35" t="inlineStr">
        <is>
          <t>ヒアリング</t>
        </is>
      </c>
      <c r="C9" s="27" t="n"/>
      <c r="D9" s="36" t="n">
        <v>5</v>
      </c>
      <c r="E9" s="29" t="n">
        <v>0</v>
      </c>
      <c r="F9" s="37">
        <f>IF(D9=0,0,MIN(E9/D9,1))</f>
        <v/>
      </c>
      <c r="G9" s="38">
        <f>IF(AND(E9&gt;=D9,D9&gt;0),"✅ 合格",IF(E9&gt;0,"🔄 練習中",IF(AND(C9&lt;&gt;"",C9&lt;TODAY()),"🔴 遅れ","⬜ 未着手")))</f>
        <v/>
      </c>
      <c r="H9" s="39">
        <f>REPT("█",INT(F9*10))&amp;REPT("░",10-INT(F9*10))&amp;" "&amp;TEXT(F9,"0%")</f>
        <v/>
      </c>
      <c r="I9" s="33" t="n"/>
    </row>
    <row r="10" ht="22" customHeight="1">
      <c r="A10" s="25" t="inlineStr">
        <is>
          <t>□</t>
        </is>
      </c>
      <c r="B10" s="26" t="inlineStr">
        <is>
          <t>ストーリー</t>
        </is>
      </c>
      <c r="C10" s="27" t="n"/>
      <c r="D10" s="28" t="n">
        <v>5</v>
      </c>
      <c r="E10" s="29" t="n">
        <v>0</v>
      </c>
      <c r="F10" s="30">
        <f>IF(D10=0,0,MIN(E10/D10,1))</f>
        <v/>
      </c>
      <c r="G10" s="31">
        <f>IF(AND(E10&gt;=D10,D10&gt;0),"✅ 合格",IF(E10&gt;0,"🔄 練習中",IF(AND(C10&lt;&gt;"",C10&lt;TODAY()),"🔴 遅れ","⬜ 未着手")))</f>
        <v/>
      </c>
      <c r="H10" s="32">
        <f>REPT("█",INT(F10*10))&amp;REPT("░",10-INT(F10*10))&amp;" "&amp;TEXT(F10,"0%")</f>
        <v/>
      </c>
      <c r="I10" s="33" t="n"/>
    </row>
    <row r="11" ht="22" customHeight="1">
      <c r="A11" s="34" t="inlineStr">
        <is>
          <t>□</t>
        </is>
      </c>
      <c r="B11" s="35" t="inlineStr">
        <is>
          <t>提案資料</t>
        </is>
      </c>
      <c r="C11" s="27" t="n"/>
      <c r="D11" s="36" t="n">
        <v>3</v>
      </c>
      <c r="E11" s="29" t="n">
        <v>0</v>
      </c>
      <c r="F11" s="37">
        <f>IF(D11=0,0,MIN(E11/D11,1))</f>
        <v/>
      </c>
      <c r="G11" s="38">
        <f>IF(AND(E11&gt;=D11,D11&gt;0),"✅ 合格",IF(E11&gt;0,"🔄 練習中",IF(AND(C11&lt;&gt;"",C11&lt;TODAY()),"🔴 遅れ","⬜ 未着手")))</f>
        <v/>
      </c>
      <c r="H11" s="39">
        <f>REPT("█",INT(F11*10))&amp;REPT("░",10-INT(F11*10))&amp;" "&amp;TEXT(F11,"0%")</f>
        <v/>
      </c>
      <c r="I11" s="33" t="n"/>
    </row>
    <row r="12" ht="22" customHeight="1">
      <c r="A12" s="25" t="inlineStr">
        <is>
          <t>□</t>
        </is>
      </c>
      <c r="B12" s="26" t="inlineStr">
        <is>
          <t>ブリッジ</t>
        </is>
      </c>
      <c r="C12" s="27" t="n"/>
      <c r="D12" s="28" t="n">
        <v>5</v>
      </c>
      <c r="E12" s="29" t="n">
        <v>0</v>
      </c>
      <c r="F12" s="30">
        <f>IF(D12=0,0,MIN(E12/D12,1))</f>
        <v/>
      </c>
      <c r="G12" s="31">
        <f>IF(AND(E12&gt;=D12,D12&gt;0),"✅ 合格",IF(E12&gt;0,"🔄 練習中",IF(AND(C12&lt;&gt;"",C12&lt;TODAY()),"🔴 遅れ","⬜ 未着手")))</f>
        <v/>
      </c>
      <c r="H12" s="32">
        <f>REPT("█",INT(F12*10))&amp;REPT("░",10-INT(F12*10))&amp;" "&amp;TEXT(F12,"0%")</f>
        <v/>
      </c>
      <c r="I12" s="33" t="n"/>
    </row>
    <row r="13" ht="8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30" customHeight="1">
      <c r="A14" s="40" t="inlineStr">
        <is>
          <t>🎤  プレの解像度を上げるトレーニング</t>
        </is>
      </c>
    </row>
    <row r="15" ht="18" customHeight="1">
      <c r="A15" s="41" t="n"/>
      <c r="B15" s="42" t="inlineStr">
        <is>
          <t xml:space="preserve">　項目名</t>
        </is>
      </c>
      <c r="C15" s="43" t="inlineStr">
        <is>
          <t>目標日</t>
        </is>
      </c>
      <c r="D15" s="43" t="inlineStr">
        <is>
          <t>RP目標</t>
        </is>
      </c>
      <c r="E15" s="43" t="inlineStr">
        <is>
          <t>RP実績</t>
        </is>
      </c>
      <c r="F15" s="43" t="inlineStr">
        <is>
          <t>達成率</t>
        </is>
      </c>
      <c r="G15" s="43" t="inlineStr">
        <is>
          <t>ステータス</t>
        </is>
      </c>
      <c r="H15" s="43" t="inlineStr">
        <is>
          <t>進捗バー</t>
        </is>
      </c>
      <c r="I15" s="43" t="inlineStr">
        <is>
          <t>メモ</t>
        </is>
      </c>
    </row>
    <row r="16" ht="22" customHeight="1">
      <c r="A16" s="25" t="inlineStr">
        <is>
          <t>□</t>
        </is>
      </c>
      <c r="B16" s="26" t="inlineStr">
        <is>
          <t>再アイスブレイク</t>
        </is>
      </c>
      <c r="C16" s="27" t="n"/>
      <c r="D16" s="28" t="n">
        <v>5</v>
      </c>
      <c r="E16" s="29" t="n">
        <v>0</v>
      </c>
      <c r="F16" s="30">
        <f>IF(D16=0,0,MIN(E16/D16,1))</f>
        <v/>
      </c>
      <c r="G16" s="31">
        <f>IF(AND(E16&gt;=D16,D16&gt;0),"✅ 合格",IF(E16&gt;0,"🔄 練習中",IF(AND(C16&lt;&gt;"",C16&lt;TODAY()),"🔴 遅れ","⬜ 未着手")))</f>
        <v/>
      </c>
      <c r="H16" s="32">
        <f>REPT("█",INT(F16*10))&amp;REPT("░",10-INT(F16*10))&amp;" "&amp;TEXT(F16,"0%")</f>
        <v/>
      </c>
      <c r="I16" s="33" t="n"/>
    </row>
    <row r="17" ht="22" customHeight="1">
      <c r="A17" s="44" t="inlineStr">
        <is>
          <t>□</t>
        </is>
      </c>
      <c r="B17" s="45" t="inlineStr">
        <is>
          <t>再ヒアリング</t>
        </is>
      </c>
      <c r="C17" s="27" t="n"/>
      <c r="D17" s="46" t="n">
        <v>5</v>
      </c>
      <c r="E17" s="29" t="n">
        <v>0</v>
      </c>
      <c r="F17" s="47">
        <f>IF(D17=0,0,MIN(E17/D17,1))</f>
        <v/>
      </c>
      <c r="G17" s="48">
        <f>IF(AND(E17&gt;=D17,D17&gt;0),"✅ 合格",IF(E17&gt;0,"🔄 練習中",IF(AND(C17&lt;&gt;"",C17&lt;TODAY()),"🔴 遅れ","⬜ 未着手")))</f>
        <v/>
      </c>
      <c r="H17" s="49">
        <f>REPT("█",INT(F17*10))&amp;REPT("░",10-INT(F17*10))&amp;" "&amp;TEXT(F17,"0%")</f>
        <v/>
      </c>
      <c r="I17" s="33" t="n"/>
    </row>
    <row r="18" ht="22" customHeight="1">
      <c r="A18" s="25" t="inlineStr">
        <is>
          <t>□</t>
        </is>
      </c>
      <c r="B18" s="26" t="inlineStr">
        <is>
          <t>前回の振り返り</t>
        </is>
      </c>
      <c r="C18" s="27" t="n"/>
      <c r="D18" s="28" t="n">
        <v>3</v>
      </c>
      <c r="E18" s="29" t="n">
        <v>0</v>
      </c>
      <c r="F18" s="30">
        <f>IF(D18=0,0,MIN(E18/D18,1))</f>
        <v/>
      </c>
      <c r="G18" s="31">
        <f>IF(AND(E18&gt;=D18,D18&gt;0),"✅ 合格",IF(E18&gt;0,"🔄 練習中",IF(AND(C18&lt;&gt;"",C18&lt;TODAY()),"🔴 遅れ","⬜ 未着手")))</f>
        <v/>
      </c>
      <c r="H18" s="32">
        <f>REPT("█",INT(F18*10))&amp;REPT("░",10-INT(F18*10))&amp;" "&amp;TEXT(F18,"0%")</f>
        <v/>
      </c>
      <c r="I18" s="33" t="n"/>
    </row>
    <row r="19" ht="22" customHeight="1">
      <c r="A19" s="44" t="inlineStr">
        <is>
          <t>□</t>
        </is>
      </c>
      <c r="B19" s="45" t="inlineStr">
        <is>
          <t>不安ヒアリング・検討潰し</t>
        </is>
      </c>
      <c r="C19" s="27" t="n"/>
      <c r="D19" s="46" t="n">
        <v>8</v>
      </c>
      <c r="E19" s="29" t="n">
        <v>0</v>
      </c>
      <c r="F19" s="47">
        <f>IF(D19=0,0,MIN(E19/D19,1))</f>
        <v/>
      </c>
      <c r="G19" s="48">
        <f>IF(AND(E19&gt;=D19,D19&gt;0),"✅ 合格",IF(E19&gt;0,"🔄 練習中",IF(AND(C19&lt;&gt;"",C19&lt;TODAY()),"🔴 遅れ","⬜ 未着手")))</f>
        <v/>
      </c>
      <c r="H19" s="49">
        <f>REPT("█",INT(F19*10))&amp;REPT("░",10-INT(F19*10))&amp;" "&amp;TEXT(F19,"0%")</f>
        <v/>
      </c>
      <c r="I19" s="33" t="n"/>
    </row>
    <row r="20" ht="22" customHeight="1">
      <c r="A20" s="25" t="inlineStr">
        <is>
          <t>□</t>
        </is>
      </c>
      <c r="B20" s="26" t="inlineStr">
        <is>
          <t>サポート説明</t>
        </is>
      </c>
      <c r="C20" s="27" t="n"/>
      <c r="D20" s="28" t="n">
        <v>5</v>
      </c>
      <c r="E20" s="29" t="n">
        <v>0</v>
      </c>
      <c r="F20" s="30">
        <f>IF(D20=0,0,MIN(E20/D20,1))</f>
        <v/>
      </c>
      <c r="G20" s="31">
        <f>IF(AND(E20&gt;=D20,D20&gt;0),"✅ 合格",IF(E20&gt;0,"🔄 練習中",IF(AND(C20&lt;&gt;"",C20&lt;TODAY()),"🔴 遅れ","⬜ 未着手")))</f>
        <v/>
      </c>
      <c r="H20" s="32">
        <f>REPT("█",INT(F20*10))&amp;REPT("░",10-INT(F20*10))&amp;" "&amp;TEXT(F20,"0%")</f>
        <v/>
      </c>
      <c r="I20" s="33" t="n"/>
    </row>
    <row r="21" ht="22" customHeight="1">
      <c r="A21" s="44" t="inlineStr">
        <is>
          <t>□</t>
        </is>
      </c>
      <c r="B21" s="45" t="inlineStr">
        <is>
          <t>卒業生の話</t>
        </is>
      </c>
      <c r="C21" s="27" t="n"/>
      <c r="D21" s="46" t="n">
        <v>5</v>
      </c>
      <c r="E21" s="29" t="n">
        <v>0</v>
      </c>
      <c r="F21" s="47">
        <f>IF(D21=0,0,MIN(E21/D21,1))</f>
        <v/>
      </c>
      <c r="G21" s="48">
        <f>IF(AND(E21&gt;=D21,D21&gt;0),"✅ 合格",IF(E21&gt;0,"🔄 練習中",IF(AND(C21&lt;&gt;"",C21&lt;TODAY()),"🔴 遅れ","⬜ 未着手")))</f>
        <v/>
      </c>
      <c r="H21" s="49">
        <f>REPT("█",INT(F21*10))&amp;REPT("░",10-INT(F21*10))&amp;" "&amp;TEXT(F21,"0%")</f>
        <v/>
      </c>
      <c r="I21" s="33" t="n"/>
    </row>
    <row r="22" ht="22" customHeight="1">
      <c r="A22" s="25" t="inlineStr">
        <is>
          <t>□</t>
        </is>
      </c>
      <c r="B22" s="26" t="inlineStr">
        <is>
          <t>アンカリング</t>
        </is>
      </c>
      <c r="C22" s="27" t="n"/>
      <c r="D22" s="28" t="n">
        <v>5</v>
      </c>
      <c r="E22" s="29" t="n">
        <v>0</v>
      </c>
      <c r="F22" s="30">
        <f>IF(D22=0,0,MIN(E22/D22,1))</f>
        <v/>
      </c>
      <c r="G22" s="31">
        <f>IF(AND(E22&gt;=D22,D22&gt;0),"✅ 合格",IF(E22&gt;0,"🔄 練習中",IF(AND(C22&lt;&gt;"",C22&lt;TODAY()),"🔴 遅れ","⬜ 未着手")))</f>
        <v/>
      </c>
      <c r="H22" s="32">
        <f>REPT("█",INT(F22*10))&amp;REPT("░",10-INT(F22*10))&amp;" "&amp;TEXT(F22,"0%")</f>
        <v/>
      </c>
      <c r="I22" s="33" t="n"/>
    </row>
    <row r="23" ht="22" customHeight="1">
      <c r="A23" s="44" t="inlineStr">
        <is>
          <t>□</t>
        </is>
      </c>
      <c r="B23" s="45" t="inlineStr">
        <is>
          <t>金額オファー</t>
        </is>
      </c>
      <c r="C23" s="27" t="n"/>
      <c r="D23" s="46" t="n">
        <v>8</v>
      </c>
      <c r="E23" s="29" t="n">
        <v>0</v>
      </c>
      <c r="F23" s="47">
        <f>IF(D23=0,0,MIN(E23/D23,1))</f>
        <v/>
      </c>
      <c r="G23" s="48">
        <f>IF(AND(E23&gt;=D23,D23&gt;0),"✅ 合格",IF(E23&gt;0,"🔄 練習中",IF(AND(C23&lt;&gt;"",C23&lt;TODAY()),"🔴 遅れ","⬜ 未着手")))</f>
        <v/>
      </c>
      <c r="H23" s="49">
        <f>REPT("█",INT(F23*10))&amp;REPT("░",10-INT(F23*10))&amp;" "&amp;TEXT(F23,"0%")</f>
        <v/>
      </c>
      <c r="I23" s="33" t="n"/>
    </row>
    <row r="24" ht="22" customHeight="1">
      <c r="A24" s="25" t="inlineStr">
        <is>
          <t>□</t>
        </is>
      </c>
      <c r="B24" s="26" t="inlineStr">
        <is>
          <t>言質後トーク</t>
        </is>
      </c>
      <c r="C24" s="27" t="n"/>
      <c r="D24" s="28" t="n">
        <v>5</v>
      </c>
      <c r="E24" s="29" t="n">
        <v>0</v>
      </c>
      <c r="F24" s="30">
        <f>IF(D24=0,0,MIN(E24/D24,1))</f>
        <v/>
      </c>
      <c r="G24" s="31">
        <f>IF(AND(E24&gt;=D24,D24&gt;0),"✅ 合格",IF(E24&gt;0,"🔄 練習中",IF(AND(C24&lt;&gt;"",C24&lt;TODAY()),"🔴 遅れ","⬜ 未着手")))</f>
        <v/>
      </c>
      <c r="H24" s="32">
        <f>REPT("█",INT(F24*10))&amp;REPT("░",10-INT(F24*10))&amp;" "&amp;TEXT(F24,"0%")</f>
        <v/>
      </c>
      <c r="I24" s="33" t="n"/>
    </row>
    <row r="25" ht="22" customHeight="1">
      <c r="A25" s="44" t="inlineStr">
        <is>
          <t>□</t>
        </is>
      </c>
      <c r="B25" s="45" t="inlineStr">
        <is>
          <t>切り返し</t>
        </is>
      </c>
      <c r="C25" s="27" t="n"/>
      <c r="D25" s="46" t="n">
        <v>10</v>
      </c>
      <c r="E25" s="29" t="n">
        <v>0</v>
      </c>
      <c r="F25" s="47">
        <f>IF(D25=0,0,MIN(E25/D25,1))</f>
        <v/>
      </c>
      <c r="G25" s="48">
        <f>IF(AND(E25&gt;=D25,D25&gt;0),"✅ 合格",IF(E25&gt;0,"🔄 練習中",IF(AND(C25&lt;&gt;"",C25&lt;TODAY()),"🔴 遅れ","⬜ 未着手")))</f>
        <v/>
      </c>
      <c r="H25" s="49">
        <f>REPT("█",INT(F25*10))&amp;REPT("░",10-INT(F25*10))&amp;" "&amp;TEXT(F25,"0%")</f>
        <v/>
      </c>
      <c r="I25" s="33" t="n"/>
    </row>
    <row r="26" ht="22" customHeight="1">
      <c r="A26" s="25" t="inlineStr">
        <is>
          <t>□</t>
        </is>
      </c>
      <c r="B26" s="26" t="inlineStr">
        <is>
          <t>ボイチェン提案</t>
        </is>
      </c>
      <c r="C26" s="27" t="n"/>
      <c r="D26" s="28" t="n">
        <v>5</v>
      </c>
      <c r="E26" s="29" t="n">
        <v>0</v>
      </c>
      <c r="F26" s="30">
        <f>IF(D26=0,0,MIN(E26/D26,1))</f>
        <v/>
      </c>
      <c r="G26" s="31">
        <f>IF(AND(E26&gt;=D26,D26&gt;0),"✅ 合格",IF(E26&gt;0,"🔄 練習中",IF(AND(C26&lt;&gt;"",C26&lt;TODAY()),"🔴 遅れ","⬜ 未着手")))</f>
        <v/>
      </c>
      <c r="H26" s="32">
        <f>REPT("█",INT(F26*10))&amp;REPT("░",10-INT(F26*10))&amp;" "&amp;TEXT(F26,"0%")</f>
        <v/>
      </c>
      <c r="I26" s="33" t="n"/>
    </row>
    <row r="27" ht="8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30" customHeight="1">
      <c r="A28" s="50" t="inlineStr">
        <is>
          <t>💬  渋りトーク</t>
        </is>
      </c>
    </row>
    <row r="29" ht="18" customHeight="1">
      <c r="A29" s="51" t="n"/>
      <c r="B29" s="52" t="inlineStr">
        <is>
          <t xml:space="preserve">　項目名</t>
        </is>
      </c>
      <c r="C29" s="53" t="inlineStr">
        <is>
          <t>目標日</t>
        </is>
      </c>
      <c r="D29" s="53" t="inlineStr">
        <is>
          <t>RP目標</t>
        </is>
      </c>
      <c r="E29" s="53" t="inlineStr">
        <is>
          <t>RP実績</t>
        </is>
      </c>
      <c r="F29" s="53" t="inlineStr">
        <is>
          <t>達成率</t>
        </is>
      </c>
      <c r="G29" s="53" t="inlineStr">
        <is>
          <t>ステータス</t>
        </is>
      </c>
      <c r="H29" s="53" t="inlineStr">
        <is>
          <t>進捗バー</t>
        </is>
      </c>
      <c r="I29" s="53" t="inlineStr">
        <is>
          <t>メモ</t>
        </is>
      </c>
    </row>
    <row r="30" ht="22" customHeight="1">
      <c r="A30" s="25" t="inlineStr">
        <is>
          <t>□</t>
        </is>
      </c>
      <c r="B30" s="26" t="inlineStr">
        <is>
          <t>金額渋りトーク</t>
        </is>
      </c>
      <c r="C30" s="27" t="n"/>
      <c r="D30" s="28" t="n">
        <v>8</v>
      </c>
      <c r="E30" s="29" t="n">
        <v>0</v>
      </c>
      <c r="F30" s="30">
        <f>IF(D30=0,0,MIN(E30/D30,1))</f>
        <v/>
      </c>
      <c r="G30" s="31">
        <f>IF(AND(E30&gt;=D30,D30&gt;0),"✅ 合格",IF(E30&gt;0,"🔄 練習中",IF(AND(C30&lt;&gt;"",C30&lt;TODAY()),"🔴 遅れ","⬜ 未着手")))</f>
        <v/>
      </c>
      <c r="H30" s="32">
        <f>REPT("█",INT(F30*10))&amp;REPT("░",10-INT(F30*10))&amp;" "&amp;TEXT(F30,"0%")</f>
        <v/>
      </c>
      <c r="I30" s="33" t="n"/>
    </row>
    <row r="31" ht="22" customHeight="1">
      <c r="A31" s="54" t="inlineStr">
        <is>
          <t>□</t>
        </is>
      </c>
      <c r="B31" s="55" t="inlineStr">
        <is>
          <t>相談渋りのトーク</t>
        </is>
      </c>
      <c r="C31" s="27" t="n"/>
      <c r="D31" s="56" t="n">
        <v>8</v>
      </c>
      <c r="E31" s="29" t="n">
        <v>0</v>
      </c>
      <c r="F31" s="57">
        <f>IF(D31=0,0,MIN(E31/D31,1))</f>
        <v/>
      </c>
      <c r="G31" s="58">
        <f>IF(AND(E31&gt;=D31,D31&gt;0),"✅ 合格",IF(E31&gt;0,"🔄 練習中",IF(AND(C31&lt;&gt;"",C31&lt;TODAY()),"🔴 遅れ","⬜ 未着手")))</f>
        <v/>
      </c>
      <c r="H31" s="59">
        <f>REPT("█",INT(F31*10))&amp;REPT("░",10-INT(F31*10))&amp;" "&amp;TEXT(F31,"0%")</f>
        <v/>
      </c>
      <c r="I31" s="33" t="n"/>
    </row>
    <row r="32" ht="22" customHeight="1">
      <c r="A32" s="25" t="inlineStr">
        <is>
          <t>□</t>
        </is>
      </c>
      <c r="B32" s="26" t="inlineStr">
        <is>
          <t>他社比較渋りトーク</t>
        </is>
      </c>
      <c r="C32" s="27" t="n"/>
      <c r="D32" s="28" t="n">
        <v>5</v>
      </c>
      <c r="E32" s="29" t="n">
        <v>0</v>
      </c>
      <c r="F32" s="30">
        <f>IF(D32=0,0,MIN(E32/D32,1))</f>
        <v/>
      </c>
      <c r="G32" s="31">
        <f>IF(AND(E32&gt;=D32,D32&gt;0),"✅ 合格",IF(E32&gt;0,"🔄 練習中",IF(AND(C32&lt;&gt;"",C32&lt;TODAY()),"🔴 遅れ","⬜ 未着手")))</f>
        <v/>
      </c>
      <c r="H32" s="32">
        <f>REPT("█",INT(F32*10))&amp;REPT("░",10-INT(F32*10))&amp;" "&amp;TEXT(F32,"0%")</f>
        <v/>
      </c>
      <c r="I32" s="33" t="n"/>
    </row>
    <row r="33" ht="22" customHeight="1">
      <c r="A33" s="54" t="inlineStr">
        <is>
          <t>□</t>
        </is>
      </c>
      <c r="B33" s="55" t="inlineStr">
        <is>
          <t>自信ない渋りトーク</t>
        </is>
      </c>
      <c r="C33" s="27" t="n"/>
      <c r="D33" s="56" t="n">
        <v>5</v>
      </c>
      <c r="E33" s="29" t="n">
        <v>0</v>
      </c>
      <c r="F33" s="57">
        <f>IF(D33=0,0,MIN(E33/D33,1))</f>
        <v/>
      </c>
      <c r="G33" s="58">
        <f>IF(AND(E33&gt;=D33,D33&gt;0),"✅ 合格",IF(E33&gt;0,"🔄 練習中",IF(AND(C33&lt;&gt;"",C33&lt;TODAY()),"🔴 遅れ","⬜ 未着手")))</f>
        <v/>
      </c>
      <c r="H33" s="59">
        <f>REPT("█",INT(F33*10))&amp;REPT("░",10-INT(F33*10))&amp;" "&amp;TEXT(F33,"0%")</f>
        <v/>
      </c>
      <c r="I33" s="33" t="n"/>
    </row>
    <row r="34" ht="22" customHeight="1">
      <c r="A34" s="25" t="inlineStr">
        <is>
          <t>□</t>
        </is>
      </c>
      <c r="B34" s="26" t="inlineStr">
        <is>
          <t>今じゃない渋りトーク</t>
        </is>
      </c>
      <c r="C34" s="27" t="n"/>
      <c r="D34" s="28" t="n">
        <v>5</v>
      </c>
      <c r="E34" s="29" t="n">
        <v>0</v>
      </c>
      <c r="F34" s="30">
        <f>IF(D34=0,0,MIN(E34/D34,1))</f>
        <v/>
      </c>
      <c r="G34" s="31">
        <f>IF(AND(E34&gt;=D34,D34&gt;0),"✅ 合格",IF(E34&gt;0,"🔄 練習中",IF(AND(C34&lt;&gt;"",C34&lt;TODAY()),"🔴 遅れ","⬜ 未着手")))</f>
        <v/>
      </c>
      <c r="H34" s="32">
        <f>REPT("█",INT(F34*10))&amp;REPT("░",10-INT(F34*10))&amp;" "&amp;TEXT(F34,"0%")</f>
        <v/>
      </c>
      <c r="I34" s="33" t="n"/>
    </row>
    <row r="35" ht="8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30" customHeight="1">
      <c r="A36" s="60" t="inlineStr">
        <is>
          <t>⚡  スキル強化</t>
        </is>
      </c>
    </row>
    <row r="37" ht="18" customHeight="1">
      <c r="A37" s="61" t="n"/>
      <c r="B37" s="62" t="inlineStr">
        <is>
          <t xml:space="preserve">　項目名</t>
        </is>
      </c>
      <c r="C37" s="63" t="inlineStr">
        <is>
          <t>目標日</t>
        </is>
      </c>
      <c r="D37" s="63" t="inlineStr">
        <is>
          <t>RP目標</t>
        </is>
      </c>
      <c r="E37" s="63" t="inlineStr">
        <is>
          <t>RP実績</t>
        </is>
      </c>
      <c r="F37" s="63" t="inlineStr">
        <is>
          <t>達成率</t>
        </is>
      </c>
      <c r="G37" s="63" t="inlineStr">
        <is>
          <t>ステータス</t>
        </is>
      </c>
      <c r="H37" s="63" t="inlineStr">
        <is>
          <t>進捗バー</t>
        </is>
      </c>
      <c r="I37" s="63" t="inlineStr">
        <is>
          <t>メモ</t>
        </is>
      </c>
    </row>
    <row r="38" ht="22" customHeight="1">
      <c r="A38" s="25" t="inlineStr">
        <is>
          <t>□</t>
        </is>
      </c>
      <c r="B38" s="26" t="inlineStr">
        <is>
          <t>アポやプレでの時間配分の徹底</t>
        </is>
      </c>
      <c r="C38" s="27" t="n"/>
      <c r="D38" s="28" t="n">
        <v>3</v>
      </c>
      <c r="E38" s="29" t="n">
        <v>0</v>
      </c>
      <c r="F38" s="30">
        <f>IF(D38=0,0,MIN(E38/D38,1))</f>
        <v/>
      </c>
      <c r="G38" s="31">
        <f>IF(AND(E38&gt;=D38,D38&gt;0),"✅ 合格",IF(E38&gt;0,"🔄 練習中",IF(AND(C38&lt;&gt;"",C38&lt;TODAY()),"🔴 遅れ","⬜ 未着手")))</f>
        <v/>
      </c>
      <c r="H38" s="32">
        <f>REPT("█",INT(F38*10))&amp;REPT("░",10-INT(F38*10))&amp;" "&amp;TEXT(F38,"0%")</f>
        <v/>
      </c>
      <c r="I38" s="33" t="n"/>
    </row>
    <row r="39" ht="22" customHeight="1">
      <c r="A39" s="64" t="inlineStr">
        <is>
          <t>□</t>
        </is>
      </c>
      <c r="B39" s="65" t="inlineStr">
        <is>
          <t>ボイチェン提案</t>
        </is>
      </c>
      <c r="C39" s="27" t="n"/>
      <c r="D39" s="66" t="n">
        <v>3</v>
      </c>
      <c r="E39" s="29" t="n">
        <v>0</v>
      </c>
      <c r="F39" s="67">
        <f>IF(D39=0,0,MIN(E39/D39,1))</f>
        <v/>
      </c>
      <c r="G39" s="68">
        <f>IF(AND(E39&gt;=D39,D39&gt;0),"✅ 合格",IF(E39&gt;0,"🔄 練習中",IF(AND(C39&lt;&gt;"",C39&lt;TODAY()),"🔴 遅れ","⬜ 未着手")))</f>
        <v/>
      </c>
      <c r="H39" s="69">
        <f>REPT("█",INT(F39*10))&amp;REPT("░",10-INT(F39*10))&amp;" "&amp;TEXT(F39,"0%")</f>
        <v/>
      </c>
      <c r="I39" s="33" t="n"/>
    </row>
    <row r="40" ht="22" customHeight="1">
      <c r="A40" s="25" t="inlineStr">
        <is>
          <t>□</t>
        </is>
      </c>
      <c r="B40" s="26" t="inlineStr">
        <is>
          <t>不安ヒアリング</t>
        </is>
      </c>
      <c r="C40" s="27" t="n"/>
      <c r="D40" s="28" t="n">
        <v>5</v>
      </c>
      <c r="E40" s="29" t="n">
        <v>0</v>
      </c>
      <c r="F40" s="30">
        <f>IF(D40=0,0,MIN(E40/D40,1))</f>
        <v/>
      </c>
      <c r="G40" s="31">
        <f>IF(AND(E40&gt;=D40,D40&gt;0),"✅ 合格",IF(E40&gt;0,"🔄 練習中",IF(AND(C40&lt;&gt;"",C40&lt;TODAY()),"🔴 遅れ","⬜ 未着手")))</f>
        <v/>
      </c>
      <c r="H40" s="32">
        <f>REPT("█",INT(F40*10))&amp;REPT("░",10-INT(F40*10))&amp;" "&amp;TEXT(F40,"0%")</f>
        <v/>
      </c>
      <c r="I40" s="33" t="n"/>
    </row>
    <row r="41" ht="22" customHeight="1">
      <c r="A41" s="64" t="inlineStr">
        <is>
          <t>□</t>
        </is>
      </c>
      <c r="B41" s="65" t="inlineStr">
        <is>
          <t>資金繰りの解像度UP（カードの分割・最低限の金融リテラシー）</t>
        </is>
      </c>
      <c r="C41" s="27" t="n"/>
      <c r="D41" s="66" t="n">
        <v>3</v>
      </c>
      <c r="E41" s="29" t="n">
        <v>0</v>
      </c>
      <c r="F41" s="67">
        <f>IF(D41=0,0,MIN(E41/D41,1))</f>
        <v/>
      </c>
      <c r="G41" s="68">
        <f>IF(AND(E41&gt;=D41,D41&gt;0),"✅ 合格",IF(E41&gt;0,"🔄 練習中",IF(AND(C41&lt;&gt;"",C41&lt;TODAY()),"🔴 遅れ","⬜ 未着手")))</f>
        <v/>
      </c>
      <c r="H41" s="69">
        <f>REPT("█",INT(F41*10))&amp;REPT("░",10-INT(F41*10))&amp;" "&amp;TEXT(F41,"0%")</f>
        <v/>
      </c>
      <c r="I41" s="33" t="n"/>
    </row>
    <row r="42" ht="22" customHeight="1">
      <c r="A42" s="25" t="inlineStr">
        <is>
          <t>□</t>
        </is>
      </c>
      <c r="B42" s="26" t="inlineStr">
        <is>
          <t>事実解釈の区別</t>
        </is>
      </c>
      <c r="C42" s="27" t="n"/>
      <c r="D42" s="28" t="n">
        <v>3</v>
      </c>
      <c r="E42" s="29" t="n">
        <v>0</v>
      </c>
      <c r="F42" s="30">
        <f>IF(D42=0,0,MIN(E42/D42,1))</f>
        <v/>
      </c>
      <c r="G42" s="31">
        <f>IF(AND(E42&gt;=D42,D42&gt;0),"✅ 合格",IF(E42&gt;0,"🔄 練習中",IF(AND(C42&lt;&gt;"",C42&lt;TODAY()),"🔴 遅れ","⬜ 未着手")))</f>
        <v/>
      </c>
      <c r="H42" s="32">
        <f>REPT("█",INT(F42*10))&amp;REPT("░",10-INT(F42*10))&amp;" "&amp;TEXT(F42,"0%")</f>
        <v/>
      </c>
      <c r="I42" s="33" t="n"/>
    </row>
    <row r="43" ht="22" customHeight="1">
      <c r="A43" s="64" t="inlineStr">
        <is>
          <t>□</t>
        </is>
      </c>
      <c r="B43" s="65" t="inlineStr">
        <is>
          <t>問題と思わしくないことの区別</t>
        </is>
      </c>
      <c r="C43" s="27" t="n"/>
      <c r="D43" s="66" t="n">
        <v>3</v>
      </c>
      <c r="E43" s="29" t="n">
        <v>0</v>
      </c>
      <c r="F43" s="67">
        <f>IF(D43=0,0,MIN(E43/D43,1))</f>
        <v/>
      </c>
      <c r="G43" s="68">
        <f>IF(AND(E43&gt;=D43,D43&gt;0),"✅ 合格",IF(E43&gt;0,"🔄 練習中",IF(AND(C43&lt;&gt;"",C43&lt;TODAY()),"🔴 遅れ","⬜ 未着手")))</f>
        <v/>
      </c>
      <c r="H43" s="69">
        <f>REPT("█",INT(F43*10))&amp;REPT("░",10-INT(F43*10))&amp;" "&amp;TEXT(F43,"0%")</f>
        <v/>
      </c>
      <c r="I43" s="33" t="n"/>
    </row>
    <row r="44" ht="22" customHeight="1">
      <c r="A44" s="25" t="inlineStr">
        <is>
          <t>□</t>
        </is>
      </c>
      <c r="B44" s="26" t="inlineStr">
        <is>
          <t>方針方法の区別</t>
        </is>
      </c>
      <c r="C44" s="27" t="n"/>
      <c r="D44" s="28" t="n">
        <v>3</v>
      </c>
      <c r="E44" s="29" t="n">
        <v>0</v>
      </c>
      <c r="F44" s="30">
        <f>IF(D44=0,0,MIN(E44/D44,1))</f>
        <v/>
      </c>
      <c r="G44" s="31">
        <f>IF(AND(E44&gt;=D44,D44&gt;0),"✅ 合格",IF(E44&gt;0,"🔄 練習中",IF(AND(C44&lt;&gt;"",C44&lt;TODAY()),"🔴 遅れ","⬜ 未着手")))</f>
        <v/>
      </c>
      <c r="H44" s="32">
        <f>REPT("█",INT(F44*10))&amp;REPT("░",10-INT(F44*10))&amp;" "&amp;TEXT(F44,"0%")</f>
        <v/>
      </c>
      <c r="I44" s="33" t="n"/>
    </row>
    <row r="45" ht="22" customHeight="1">
      <c r="A45" s="64" t="inlineStr">
        <is>
          <t>□</t>
        </is>
      </c>
      <c r="B45" s="65" t="inlineStr">
        <is>
          <t>MSの立て方</t>
        </is>
      </c>
      <c r="C45" s="27" t="n"/>
      <c r="D45" s="66" t="n">
        <v>5</v>
      </c>
      <c r="E45" s="29" t="n">
        <v>0</v>
      </c>
      <c r="F45" s="67">
        <f>IF(D45=0,0,MIN(E45/D45,1))</f>
        <v/>
      </c>
      <c r="G45" s="68">
        <f>IF(AND(E45&gt;=D45,D45&gt;0),"✅ 合格",IF(E45&gt;0,"🔄 練習中",IF(AND(C45&lt;&gt;"",C45&lt;TODAY()),"🔴 遅れ","⬜ 未着手")))</f>
        <v/>
      </c>
      <c r="H45" s="69">
        <f>REPT("█",INT(F45*10))&amp;REPT("░",10-INT(F45*10))&amp;" "&amp;TEXT(F45,"0%")</f>
        <v/>
      </c>
      <c r="I45" s="33" t="n"/>
    </row>
    <row r="46" ht="8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30" customHeight="1">
      <c r="A47" s="70" t="inlineStr">
        <is>
          <t>🧠  マインド編（ウェブフリワークブック）</t>
        </is>
      </c>
    </row>
    <row r="48" ht="18" customHeight="1">
      <c r="A48" s="71" t="n"/>
      <c r="B48" s="72" t="inlineStr">
        <is>
          <t xml:space="preserve">　項目名</t>
        </is>
      </c>
      <c r="C48" s="73" t="inlineStr">
        <is>
          <t>目標日</t>
        </is>
      </c>
      <c r="D48" s="73" t="inlineStr">
        <is>
          <t>RP目標</t>
        </is>
      </c>
      <c r="E48" s="73" t="inlineStr">
        <is>
          <t>RP実績</t>
        </is>
      </c>
      <c r="F48" s="73" t="inlineStr">
        <is>
          <t>達成率</t>
        </is>
      </c>
      <c r="G48" s="73" t="inlineStr">
        <is>
          <t>ステータス</t>
        </is>
      </c>
      <c r="H48" s="73" t="inlineStr">
        <is>
          <t>進捗バー</t>
        </is>
      </c>
      <c r="I48" s="73" t="inlineStr">
        <is>
          <t>メモ</t>
        </is>
      </c>
    </row>
    <row r="49" ht="22" customHeight="1">
      <c r="A49" s="25" t="inlineStr">
        <is>
          <t>□</t>
        </is>
      </c>
      <c r="B49" s="26" t="inlineStr">
        <is>
          <t>ウェブフリワークブック（マインド編）</t>
        </is>
      </c>
      <c r="C49" s="27" t="n"/>
      <c r="D49" s="28" t="n">
        <v>1</v>
      </c>
      <c r="E49" s="29" t="n">
        <v>0</v>
      </c>
      <c r="F49" s="30">
        <f>IF(D49=0,0,MIN(E49/D49,1))</f>
        <v/>
      </c>
      <c r="G49" s="31">
        <f>IF(AND(E49&gt;=D49,D49&gt;0),"✅ 合格",IF(E49&gt;0,"🔄 練習中",IF(AND(C49&lt;&gt;"",C49&lt;TODAY()),"🔴 遅れ","⬜ 未着手")))</f>
        <v/>
      </c>
      <c r="H49" s="32">
        <f>REPT("█",INT(F49*10))&amp;REPT("░",10-INT(F49*10))&amp;" "&amp;TEXT(F49,"0%")</f>
        <v/>
      </c>
      <c r="I49" s="33" t="n"/>
    </row>
    <row r="50" ht="8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</row>
  </sheetData>
  <mergeCells count="7">
    <mergeCell ref="A47:I47"/>
    <mergeCell ref="A28:I28"/>
    <mergeCell ref="A36:I36"/>
    <mergeCell ref="A14:I14"/>
    <mergeCell ref="A1:I1"/>
    <mergeCell ref="A3:I3"/>
    <mergeCell ref="A6:I6"/>
  </mergeCells>
  <conditionalFormatting sqref="G6:G51">
    <cfRule type="expression" priority="1" dxfId="3">
      <formula>ISNUMBER(SEARCH("合格",G6))</formula>
    </cfRule>
    <cfRule type="expression" priority="2" dxfId="1">
      <formula>ISNUMBER(SEARCH("練習中",G6))</formula>
    </cfRule>
    <cfRule type="expression" priority="3" dxfId="2">
      <formula>ISNUMBER(SEARCH("遅れ",G6))</formula>
    </cfRule>
    <cfRule type="expression" priority="4" dxfId="4">
      <formula>ISNUMBER(SEARCH("未着手",G6))</formula>
    </cfRule>
  </conditionalFormatting>
  <conditionalFormatting sqref="A6:I51">
    <cfRule type="expression" priority="5" dxfId="5">
      <formula>$A6="✓"</formula>
    </cfRule>
  </conditionalFormatting>
  <conditionalFormatting sqref="C6:C51">
    <cfRule type="expression" priority="6" dxfId="6">
      <formula>AND(C6&lt;&gt;"",C6&lt;TODAY(),E6&lt;D6)</formula>
    </cfRule>
  </conditionalFormatting>
  <dataValidations count="1">
    <dataValidation sqref="A8 A9 A10 A11 A12 A16 A17 A18 A19 A20 A21 A22 A23 A24 A25 A26 A30 A31 A32 A33 A34 A38 A39 A40 A41 A42 A43 A44 A45 A49" showDropDown="0" showInputMessage="0" showErrorMessage="0" allowBlank="0" type="list">
      <formula1>"□,✓"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2026-04-19T06:22:29Z</dcterms:created>
  <dcterms:modified xsi:type="dcterms:W3CDTF">2026-04-19T06:22:29Z</dcterms:modified>
</cp:coreProperties>
</file>